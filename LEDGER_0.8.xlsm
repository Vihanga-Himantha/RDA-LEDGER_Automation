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Users\ASUS\Desktop\VIHANGA LRDGER\Macro with final\4\"/>
    </mc:Choice>
  </mc:AlternateContent>
  <xr:revisionPtr revIDLastSave="0" documentId="13_ncr:1_{750BB0E8-295B-45CF-941E-0CC810C33A06}" xr6:coauthVersionLast="47" xr6:coauthVersionMax="47" xr10:uidLastSave="{00000000-0000-0000-0000-000000000000}"/>
  <bookViews>
    <workbookView xWindow="-108" yWindow="-108" windowWidth="23256" windowHeight="12720" activeTab="6" xr2:uid="{00000000-000D-0000-FFFF-FFFF00000000}"/>
  </bookViews>
  <sheets>
    <sheet name="MainSheet" sheetId="1" r:id="rId1"/>
    <sheet name="Changes" sheetId="6" r:id="rId2"/>
    <sheet name="Lists" sheetId="3" r:id="rId3"/>
    <sheet name="FinalOther" sheetId="9" r:id="rId4"/>
    <sheet name="Final Filter(2021)" sheetId="5" r:id="rId5"/>
    <sheet name="RPR" sheetId="14" r:id="rId6"/>
    <sheet name="Summary" sheetId="15" r:id="rId7"/>
    <sheet name="Sheet2" sheetId="16" r:id="rId8"/>
  </sheets>
  <functionGroups builtInGroupCount="19"/>
  <definedNames>
    <definedName name="Periodic_Maintenance">Lists!$A$2:$A$12</definedName>
    <definedName name="_xlnm.Print_Area" localSheetId="3">FinalOther!$B$1:$S$24</definedName>
    <definedName name="_xlnm.Print_Area" localSheetId="5">RPR!$A$1:$Q$24</definedName>
    <definedName name="Recurrent_Maintenance">Lists!$B$2:$B$18</definedName>
    <definedName name="Roads">Lists!$D$2:$D$15</definedName>
    <definedName name="Routine_Maintenance">Lists!$C$2:$C$19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 i="9" l="1"/>
  <c r="L15" i="9" s="1"/>
  <c r="L16" i="9" s="1"/>
  <c r="L17" i="9" s="1"/>
  <c r="L18" i="9" s="1"/>
  <c r="L19" i="9" s="1"/>
  <c r="L20" i="9" s="1"/>
  <c r="L21" i="9" s="1"/>
  <c r="L22" i="9" s="1"/>
  <c r="L23" i="9" s="1"/>
  <c r="L24" i="9" s="1"/>
  <c r="L25" i="9" s="1"/>
  <c r="L26" i="9" s="1"/>
  <c r="L13" i="9"/>
  <c r="K14" i="1"/>
  <c r="F24" i="14"/>
  <c r="N23" i="14"/>
  <c r="P23" i="14" s="1"/>
  <c r="O22" i="14"/>
  <c r="N22" i="14"/>
  <c r="P22" i="14" s="1"/>
  <c r="N21" i="14"/>
  <c r="P21" i="14" s="1"/>
  <c r="N20" i="14"/>
  <c r="P20" i="14" s="1"/>
  <c r="O19" i="14"/>
  <c r="N19" i="14"/>
  <c r="P19" i="14" s="1"/>
  <c r="O18" i="14"/>
  <c r="N18" i="14"/>
  <c r="P18" i="14" s="1"/>
  <c r="O17" i="14"/>
  <c r="N17" i="14"/>
  <c r="P17" i="14" s="1"/>
  <c r="O16" i="14"/>
  <c r="N16" i="14"/>
  <c r="P16" i="14" s="1"/>
  <c r="O15" i="14"/>
  <c r="L15" i="14"/>
  <c r="N15" i="14" s="1"/>
  <c r="P15" i="14" s="1"/>
  <c r="N14" i="14"/>
  <c r="P14" i="14" s="1"/>
  <c r="O13" i="14"/>
  <c r="L13" i="14"/>
  <c r="N13" i="14"/>
  <c r="P13" i="14" s="1"/>
  <c r="O12" i="14"/>
  <c r="N12" i="14"/>
  <c r="P12" i="14" s="1"/>
  <c r="O11" i="14"/>
  <c r="N11" i="14"/>
  <c r="P11" i="14" s="1"/>
  <c r="O10" i="14"/>
  <c r="O24" i="14" s="1"/>
  <c r="N10" i="14"/>
  <c r="P10" i="14" s="1"/>
  <c r="K24" i="14"/>
  <c r="L24" i="14" l="1"/>
  <c r="N24" i="14" s="1"/>
  <c r="P24" i="14" s="1"/>
  <c r="K13" i="1"/>
  <c r="J4" i="3"/>
  <c r="K4" i="3"/>
  <c r="J5" i="3"/>
  <c r="K5" i="3"/>
  <c r="J6" i="3"/>
  <c r="K6" i="3"/>
  <c r="J7" i="3"/>
  <c r="K7" i="3"/>
  <c r="J8" i="3"/>
  <c r="K8" i="3"/>
  <c r="J9" i="3"/>
  <c r="K9" i="3"/>
  <c r="J10" i="3"/>
  <c r="K10" i="3"/>
  <c r="J11" i="3"/>
  <c r="K11" i="3"/>
  <c r="J12" i="3"/>
  <c r="K12" i="3"/>
  <c r="J13" i="3"/>
  <c r="K13" i="3"/>
  <c r="J14" i="3"/>
  <c r="K14" i="3"/>
  <c r="J15" i="3"/>
  <c r="K15" i="3"/>
  <c r="J16" i="3"/>
  <c r="K16" i="3"/>
  <c r="J17" i="3"/>
  <c r="K17" i="3"/>
  <c r="I5" i="3"/>
  <c r="I6" i="3"/>
  <c r="I7" i="3"/>
  <c r="I8" i="3"/>
  <c r="I9" i="3"/>
  <c r="I10" i="3"/>
  <c r="I11" i="3"/>
  <c r="I12" i="3"/>
  <c r="I13" i="3"/>
  <c r="I14" i="3"/>
  <c r="I15" i="3"/>
  <c r="I16" i="3"/>
  <c r="I17" i="3"/>
  <c r="I4" i="3"/>
  <c r="B13" i="5" l="1" a="1"/>
  <c r="B13" i="5" s="1"/>
  <c r="K4" i="1"/>
  <c r="K5" i="1"/>
  <c r="K6" i="1"/>
  <c r="K7" i="1"/>
  <c r="K8" i="1"/>
  <c r="K9" i="1"/>
  <c r="K10" i="1"/>
  <c r="K11" i="1"/>
  <c r="K12" i="1"/>
  <c r="K3" i="1"/>
  <c r="K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<sst xmlns="http://schemas.openxmlformats.org/spreadsheetml/2006/main" count="495" uniqueCount="198">
  <si>
    <t xml:space="preserve">DATE </t>
  </si>
  <si>
    <t>VOUCHER No.</t>
  </si>
  <si>
    <t xml:space="preserve">NAME OF PAYEE AND PARTICULARS OF EXPENDITURE </t>
  </si>
  <si>
    <t>VOUCHER AMOUNT</t>
  </si>
  <si>
    <t>VAT AMOUNT</t>
  </si>
  <si>
    <t>TOTAL EXPENDITURE</t>
  </si>
  <si>
    <t>CUMULATIVE EXPENDITURE</t>
  </si>
  <si>
    <t xml:space="preserve">BALANCE ALLOCATION </t>
  </si>
  <si>
    <t xml:space="preserve">TOTAL MOBILIZING ADVANCE </t>
  </si>
  <si>
    <t>EXPENDITURE ON ACC. ADVANCE</t>
  </si>
  <si>
    <t>BALANCE RETENTION</t>
  </si>
  <si>
    <t xml:space="preserve">TOTAL DEDUCTIONS </t>
  </si>
  <si>
    <t xml:space="preserve">BALANCE PAYABLE </t>
  </si>
  <si>
    <t xml:space="preserve">ADVANCE PAYMENT </t>
  </si>
  <si>
    <t xml:space="preserve">INITIALS OF CERTIFYING OFFICER </t>
  </si>
  <si>
    <t>REMARKS</t>
  </si>
  <si>
    <t>AD001</t>
  </si>
  <si>
    <t>AD002</t>
  </si>
  <si>
    <t>AD003</t>
  </si>
  <si>
    <t>AD004</t>
  </si>
  <si>
    <t>AD005</t>
  </si>
  <si>
    <t>HJK001</t>
  </si>
  <si>
    <t>HJK002</t>
  </si>
  <si>
    <t>HJK003</t>
  </si>
  <si>
    <t>HJK004</t>
  </si>
  <si>
    <t>HJK005</t>
  </si>
  <si>
    <t>D</t>
  </si>
  <si>
    <t>Road</t>
  </si>
  <si>
    <t>Maintenance Category</t>
  </si>
  <si>
    <t>Alawwa - Dampelessa</t>
  </si>
  <si>
    <t>Alawwa - Maharagama</t>
  </si>
  <si>
    <t>Narammala - Dankotuwa</t>
  </si>
  <si>
    <t>Makandura - Badalgama</t>
  </si>
  <si>
    <t>Bowatta - Padiwela</t>
  </si>
  <si>
    <t>Chilaw - Wariyapola</t>
  </si>
  <si>
    <t>Dandagamuwa - Udawla</t>
  </si>
  <si>
    <t>Marawila - Udubaddawa</t>
  </si>
  <si>
    <t>Pannala - Kuliyapitiya</t>
  </si>
  <si>
    <t>Udawela - Kumbukgahamulla</t>
  </si>
  <si>
    <t>Kadahapola - Rambawewa</t>
  </si>
  <si>
    <t>Kurunegala - Narammala - Madampe</t>
  </si>
  <si>
    <t>Kuliyapitiya - Hettipola</t>
  </si>
  <si>
    <t>Kuliyapitiya - Padiwela</t>
  </si>
  <si>
    <t>Sand sealing</t>
  </si>
  <si>
    <t>Chip sealing</t>
  </si>
  <si>
    <t>Section overlay</t>
  </si>
  <si>
    <t>Surface milling and overlay</t>
  </si>
  <si>
    <t>Base failure correction</t>
  </si>
  <si>
    <t>Grading and re-gravelling shoulders</t>
  </si>
  <si>
    <t>Grading and re-gravelling earth road</t>
  </si>
  <si>
    <t>Culvert repair</t>
  </si>
  <si>
    <t>Minor bridge repair</t>
  </si>
  <si>
    <t>Maintenance of traffic signals at junction</t>
  </si>
  <si>
    <t>Maintenance of street light</t>
  </si>
  <si>
    <t>Patching potholes</t>
  </si>
  <si>
    <t>Crack sealing</t>
  </si>
  <si>
    <t>Repairing of ruts, depression and surface irregulaties</t>
  </si>
  <si>
    <t>Edge correction</t>
  </si>
  <si>
    <t>Foot walk repair</t>
  </si>
  <si>
    <t>Guard stone repair</t>
  </si>
  <si>
    <t>Parapet wall repair</t>
  </si>
  <si>
    <t>Safety fence, guardrail repair</t>
  </si>
  <si>
    <t>Repair sign boards</t>
  </si>
  <si>
    <t>Remove overhanging branches</t>
  </si>
  <si>
    <t>Shoulder maintenance using motor grader</t>
  </si>
  <si>
    <t>Cover slab replacement</t>
  </si>
  <si>
    <t>Guard stone replacement</t>
  </si>
  <si>
    <t>KM Post replacement</t>
  </si>
  <si>
    <t>Lane marking</t>
  </si>
  <si>
    <t>Marking of Pedestrian crossing</t>
  </si>
  <si>
    <t>Road sign board replacement</t>
  </si>
  <si>
    <t>General up keep</t>
  </si>
  <si>
    <t>Reducing high side using motor grader</t>
  </si>
  <si>
    <t>Cleaning and desilting of drains</t>
  </si>
  <si>
    <t>Open built-up drain</t>
  </si>
  <si>
    <t>Covered build-up drain</t>
  </si>
  <si>
    <t>Hume pipes: 600mm, 900mm, 1200nun</t>
  </si>
  <si>
    <t>Removal of silt and sand in kerb and channels</t>
  </si>
  <si>
    <t>Clearing of manholes and gullies. Cleaning inlet and outlet of culvert</t>
  </si>
  <si>
    <t>Desilting of culvert</t>
  </si>
  <si>
    <t>Recutting side drain in unclassified soil</t>
  </si>
  <si>
    <t>Cutting scupper drains</t>
  </si>
  <si>
    <t>Road side sweeping</t>
  </si>
  <si>
    <t>Painting guard stone</t>
  </si>
  <si>
    <t>Painting kerb</t>
  </si>
  <si>
    <t>KM Post painting and numbering</t>
  </si>
  <si>
    <t>Painting Bridge and culvert</t>
  </si>
  <si>
    <t>Bridge and culvert numbering</t>
  </si>
  <si>
    <t>Operation of ferry service</t>
  </si>
  <si>
    <t>Roads</t>
  </si>
  <si>
    <t>Periodic_Maintenance</t>
  </si>
  <si>
    <t>Recurrent_Maintenance</t>
  </si>
  <si>
    <t>Routine_Maintenance</t>
  </si>
  <si>
    <t xml:space="preserve"> </t>
  </si>
  <si>
    <t>AD006</t>
  </si>
  <si>
    <t>AD007</t>
  </si>
  <si>
    <t>HJK006</t>
  </si>
  <si>
    <t>HJK007</t>
  </si>
  <si>
    <t>ROAD DEVELOPMENT AUTHORITY</t>
  </si>
  <si>
    <t>CONTRACT LEDGER</t>
  </si>
  <si>
    <t>VOTE  PARTICULARS</t>
  </si>
  <si>
    <t>TOTAL ESTIMATED COST</t>
  </si>
  <si>
    <t xml:space="preserve">TEC REVISION </t>
  </si>
  <si>
    <t xml:space="preserve">AMOUNT </t>
  </si>
  <si>
    <t>AGREEMENT NO.</t>
  </si>
  <si>
    <t>DATE</t>
  </si>
  <si>
    <t>TOTAL  ALLOCATION</t>
  </si>
  <si>
    <t>SANCTIONED ESTIMATE No. &amp; DATE</t>
  </si>
  <si>
    <t xml:space="preserve">WORKS ORDER </t>
  </si>
  <si>
    <t xml:space="preserve">NAME OF PROJECT </t>
  </si>
  <si>
    <t>NAME OF CLIENT</t>
  </si>
  <si>
    <t>VOTE CODE</t>
  </si>
  <si>
    <t>JOB No.</t>
  </si>
  <si>
    <t>AD008</t>
  </si>
  <si>
    <t>AD009</t>
  </si>
  <si>
    <t>AD010</t>
  </si>
  <si>
    <t>AD011</t>
  </si>
  <si>
    <t>HJK008</t>
  </si>
  <si>
    <t>HJK009</t>
  </si>
  <si>
    <t>HJK010</t>
  </si>
  <si>
    <t>HJK011</t>
  </si>
  <si>
    <t>Maintenance Category?</t>
  </si>
  <si>
    <t>Road?</t>
  </si>
  <si>
    <t>Remarks</t>
  </si>
  <si>
    <t>ALLOCATION</t>
  </si>
  <si>
    <t>AD012</t>
  </si>
  <si>
    <t>HJK012</t>
  </si>
  <si>
    <t>ITEM NO</t>
  </si>
  <si>
    <t>DESCRIPTION OF WORK (NAME OF THE PROJECT)</t>
  </si>
  <si>
    <t>SCOPE OF  WORK IN BRIEF</t>
  </si>
  <si>
    <t>CHAINAGE</t>
  </si>
  <si>
    <t>TEC</t>
  </si>
  <si>
    <t>NAME OF THE CONTRACTOR</t>
  </si>
  <si>
    <t>EXPECTED DATE OF COMPLETION</t>
  </si>
  <si>
    <t>ALLOCATION FOR THE YEAR 2024</t>
  </si>
  <si>
    <t xml:space="preserve">CUMULATIVE EXPENDITURE UPTO END OF PREVIOUS MONTHS                              </t>
  </si>
  <si>
    <t>EXPENDITURE INCURRED DURING THE MONTH</t>
  </si>
  <si>
    <t>VALUE OF BILLS SUBMITTED BUT NOT PAID</t>
  </si>
  <si>
    <t>BALANCE AMOUNT OF ADVANCES PAID</t>
  </si>
  <si>
    <t>TOTAL EXPENDITURE WITH BILLS SUBMITTED BUT NOT PAID</t>
  </si>
  <si>
    <t>VALUE OF WORK DONE BUT BILLS NOT SUBMITTED/Liabilities</t>
  </si>
  <si>
    <t>TOTAL EXPENDITURE INCLUDING LIABILITIES FOR THE YEAR 2018</t>
  </si>
  <si>
    <t>Physical Progress %</t>
  </si>
  <si>
    <t>FROM</t>
  </si>
  <si>
    <t>TO</t>
  </si>
  <si>
    <t>Rs.Mn</t>
  </si>
  <si>
    <t>6=2+3+4+5</t>
  </si>
  <si>
    <t>8=(6+7)</t>
  </si>
  <si>
    <t>Genaral Up keep, Reducing high side usiing motor grader, Cleaning and desiliting of drains, Open built up drain, Covered build-up drain, Hume pipes:600mm, 900mm,1200mm, Removal of slit and sand in kerb and channels, Clearing of manholes and gullies, Cleeaning inlet and outlet of culvert, Recutting side drain in unclassified soil, Cutting Scupper drains, Road side Sweeping, Painting guard stone, Painting kerb, KM post painting and numbering, Painting Bridge and culvert, Bridge and culvert numbering, operation of ferry service.</t>
  </si>
  <si>
    <t>31.12.2024</t>
  </si>
  <si>
    <t xml:space="preserve">29 Mn </t>
  </si>
  <si>
    <t>Total</t>
  </si>
  <si>
    <t>Patching pot holes, crack sealing , Repairing of ruts, depression and surface irregulaties, Edge correction, Foot walk repair, Guard stone repair, Parapet wall repair, Safety fence, guardrail repair, Repair sign boards, Remove overhanging branches, Shoulder maintennce using motor garder, Cover slab replacement, KM POst replacement, Lane Marking , marking of Pedestrian Crossing, Road sign board repalcement</t>
  </si>
  <si>
    <t>Sand Sealing, Chip Sealing, Section Overlay, Surfacing milling and Overlay, Base Failure correction, Grading and re- graveling shoulders,  Grading and re- graveling eart road, Culvert Repair, Minor bridg erepair, maintenance of traffic signals at junction, Maintenance of Street Light</t>
  </si>
  <si>
    <t>31/08/2024</t>
  </si>
  <si>
    <t>21/08/2024</t>
  </si>
  <si>
    <t>22/09/2024</t>
  </si>
  <si>
    <t>25/09/2024</t>
  </si>
  <si>
    <t>25/11/2024</t>
  </si>
  <si>
    <t>26/11/2024</t>
  </si>
  <si>
    <t>27/11/2024</t>
  </si>
  <si>
    <t>28/11/2024</t>
  </si>
  <si>
    <t>21/12/2024</t>
  </si>
  <si>
    <t>23/12/2024</t>
  </si>
  <si>
    <t>28/12/2024</t>
  </si>
  <si>
    <t>AD013</t>
  </si>
  <si>
    <t>HJK013</t>
  </si>
  <si>
    <t>29/12/2024</t>
  </si>
  <si>
    <t>29/11/2024</t>
  </si>
  <si>
    <t xml:space="preserve">- 2024 (NWP) </t>
  </si>
  <si>
    <t>December</t>
  </si>
  <si>
    <t>No.</t>
  </si>
  <si>
    <t>Activity</t>
  </si>
  <si>
    <t>Allocation</t>
  </si>
  <si>
    <t>Alawwa – Dampelessa</t>
  </si>
  <si>
    <t>Alawwa – Maharagama</t>
  </si>
  <si>
    <t>Bowatta – Padiwela</t>
  </si>
  <si>
    <t>Chilaw-Wariyapola</t>
  </si>
  <si>
    <t>Dandagamuwa – Udawela</t>
  </si>
  <si>
    <t>Kuliyapitiya – Hettipola</t>
  </si>
  <si>
    <t>Kuliyapitiya – Padiwela</t>
  </si>
  <si>
    <t>Kurunegala -Narammala - Madampe</t>
  </si>
  <si>
    <t>Marawila - Udubadadawa</t>
  </si>
  <si>
    <t>Narammala Dankotuwa</t>
  </si>
  <si>
    <t>Pannala Kuliyapitiya</t>
  </si>
  <si>
    <t xml:space="preserve">Liabilities </t>
  </si>
  <si>
    <t>Total (Expenditure, Bills in Hand &amp; Liabilities)</t>
  </si>
  <si>
    <t>Total Expenditure</t>
  </si>
  <si>
    <t>Allocation Revised</t>
  </si>
  <si>
    <t>Bills in Hand</t>
  </si>
  <si>
    <t>Liabilities</t>
  </si>
  <si>
    <t>Last Balance</t>
  </si>
  <si>
    <t>Chip Sealing</t>
  </si>
  <si>
    <t>Section Overlay</t>
  </si>
  <si>
    <t>Base Failure Correction</t>
  </si>
  <si>
    <t>Maintenance of traffic signala at junction</t>
  </si>
  <si>
    <t xml:space="preserve"> - Progress (Total) - August 2024      </t>
  </si>
  <si>
    <t xml:space="preserve"> Periodic Maintenance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</si>
</sst>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dd/mm/yyyy;@"/>
    <numFmt numFmtId="165" formatCode="&quot;$&quot;#,##0.00"/>
    <numFmt numFmtId="166" formatCode="_-[$Rs.-849]\ * #,##0.00_-;\-[$Rs.-849]\ * #,##0.00_-;_-[$Rs.-849]\ * &quot;-&quot;??_-;_-@_-"/>
    <numFmt numFmtId="167" formatCode="dd/mm/yy;@"/>
    <numFmt numFmtId="168" formatCode="dd/mm/yyyy"/>
    <numFmt numFmtId="169" formatCode="0.0"/>
  </numFmts>
  <fonts count="27" x14ac:knownFonts="1">
    <font>
      <sz val="11"/>
      <color theme="1"/>
      <name val="Calibri"/>
      <family val="2"/>
      <scheme val="minor"/>
    </font>
    <font>
      <sz val="8"/>
      <name val="Calibri"/>
      <family val="2"/>
      <scheme val="minor"/>
    </font>
    <font>
      <b/>
      <sz val="11"/>
      <color theme="1"/>
      <name val="Calibri"/>
      <family val="2"/>
      <scheme val="minor"/>
    </font>
    <font>
      <b/>
      <sz val="14"/>
      <color theme="1"/>
      <name val="Calibri"/>
      <family val="2"/>
      <scheme val="minor"/>
    </font>
    <font>
      <b/>
      <sz val="20"/>
      <color theme="1"/>
      <name val="Calibri"/>
      <family val="2"/>
      <scheme val="minor"/>
    </font>
    <font>
      <b/>
      <sz val="16"/>
      <color theme="1"/>
      <name val="Calibri"/>
      <family val="2"/>
      <scheme val="minor"/>
    </font>
    <font>
      <sz val="11"/>
      <color rgb="FF000000"/>
      <name val="Calibri"/>
      <family val="2"/>
    </font>
    <font>
      <sz val="11"/>
      <color theme="1"/>
      <name val="Calibri"/>
      <family val="2"/>
      <scheme val="minor"/>
    </font>
    <font>
      <sz val="11"/>
      <color indexed="8"/>
      <name val="Calibri"/>
      <family val="2"/>
    </font>
    <font>
      <sz val="10"/>
      <name val="Arial"/>
      <family val="2"/>
    </font>
    <font>
      <b/>
      <sz val="11"/>
      <name val="Arial"/>
      <family val="2"/>
    </font>
    <font>
      <b/>
      <sz val="11"/>
      <color indexed="8"/>
      <name val="Calibri"/>
      <family val="2"/>
    </font>
    <font>
      <b/>
      <sz val="9"/>
      <name val="Arial"/>
      <family val="2"/>
    </font>
    <font>
      <b/>
      <sz val="10"/>
      <name val="Arial"/>
      <family val="2"/>
    </font>
    <font>
      <b/>
      <sz val="10"/>
      <color indexed="8"/>
      <name val="Calibri"/>
      <family val="2"/>
    </font>
    <font>
      <b/>
      <sz val="10"/>
      <color indexed="8"/>
      <name val="Times New Roman"/>
      <family val="1"/>
    </font>
    <font>
      <sz val="10"/>
      <color indexed="8"/>
      <name val="Calibri"/>
      <family val="2"/>
    </font>
    <font>
      <sz val="10"/>
      <color indexed="8"/>
      <name val="Cambria"/>
      <family val="1"/>
    </font>
    <font>
      <b/>
      <sz val="10"/>
      <name val="Book Antiqua"/>
      <family val="1"/>
    </font>
    <font>
      <sz val="10"/>
      <name val="Times New Roman"/>
      <family val="1"/>
    </font>
    <font>
      <b/>
      <sz val="10"/>
      <color indexed="8"/>
      <name val="Cambria"/>
      <family val="1"/>
    </font>
    <font>
      <b/>
      <sz val="10"/>
      <name val="Cambria"/>
      <family val="1"/>
    </font>
    <font>
      <sz val="18"/>
      <color rgb="FF000000"/>
      <name val="Calibri"/>
      <family val="2"/>
    </font>
    <font>
      <b/>
      <sz val="11"/>
      <color theme="1"/>
      <name val="Times New Roman"/>
      <family val="1"/>
    </font>
    <font>
      <b/>
      <sz val="9"/>
      <color theme="1"/>
      <name val="Times New Roman"/>
      <family val="1"/>
    </font>
    <font>
      <b/>
      <sz val="9"/>
      <color indexed="8"/>
      <name val="Times New Roman"/>
      <family val="1"/>
    </font>
    <font>
      <sz val="9"/>
      <color theme="1"/>
      <name val="Times New Roman"/>
      <family val="1"/>
    </font>
  </fonts>
  <fills count="7">
    <fill>
      <patternFill patternType="none"/>
    </fill>
    <fill>
      <patternFill patternType="gray125"/>
    </fill>
    <fill>
      <patternFill patternType="solid">
        <fgColor theme="2" tint="-9.9978637043366805E-2"/>
        <bgColor indexed="64"/>
      </patternFill>
    </fill>
    <fill>
      <patternFill patternType="solid">
        <fgColor theme="7" tint="0.59999389629810485"/>
        <bgColor indexed="64"/>
      </patternFill>
    </fill>
    <fill>
      <patternFill patternType="solid">
        <fgColor theme="1"/>
        <bgColor indexed="64"/>
      </patternFill>
    </fill>
    <fill>
      <patternFill patternType="solid">
        <fgColor theme="8" tint="0.79998168889431442"/>
        <bgColor indexed="64"/>
      </patternFill>
    </fill>
    <fill>
      <patternFill patternType="solid">
        <fgColor theme="0"/>
        <bgColor indexed="64"/>
      </patternFill>
    </fill>
  </fills>
  <borders count="38">
    <border>
      <left/>
      <right/>
      <top/>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5">
    <xf numFmtId="0" fontId="0" fillId="0" borderId="0"/>
    <xf numFmtId="43" fontId="7" fillId="0" borderId="0" applyFont="0" applyFill="0" applyBorder="0" applyAlignment="0" applyProtection="0"/>
    <xf numFmtId="0" fontId="9" fillId="0" borderId="0"/>
    <xf numFmtId="0" fontId="9" fillId="0" borderId="0"/>
    <xf numFmtId="0" fontId="9" fillId="0" borderId="0"/>
  </cellStyleXfs>
  <cellXfs count="232">
    <xf numFmtId="0" fontId="0" fillId="0" borderId="0" xfId="0"/>
    <xf numFmtId="0" fontId="0" fillId="0" borderId="0" xfId="0" applyAlignment="1">
      <alignment horizontal="center" vertical="center" wrapText="1"/>
    </xf>
    <xf numFmtId="14" fontId="0" fillId="0" borderId="0" xfId="0" applyNumberFormat="1"/>
    <xf numFmtId="43" fontId="0" fillId="0" borderId="0" xfId="0" applyNumberFormat="1"/>
    <xf numFmtId="0" fontId="2" fillId="0" borderId="0" xfId="0" applyFont="1"/>
    <xf numFmtId="164" fontId="0" fillId="0" borderId="2" xfId="0" applyNumberFormat="1" applyBorder="1"/>
    <xf numFmtId="164" fontId="0" fillId="0" borderId="2" xfId="0" quotePrefix="1" applyNumberFormat="1" applyBorder="1"/>
    <xf numFmtId="0" fontId="0" fillId="0" borderId="2" xfId="0" applyBorder="1"/>
    <xf numFmtId="43" fontId="0" fillId="0" borderId="2" xfId="0" applyNumberFormat="1" applyBorder="1"/>
    <xf numFmtId="14" fontId="0" fillId="0" borderId="2" xfId="0" applyNumberFormat="1" applyBorder="1"/>
    <xf numFmtId="165" fontId="0" fillId="0" borderId="2" xfId="0" applyNumberFormat="1" applyBorder="1"/>
    <xf numFmtId="166" fontId="0" fillId="0" borderId="2" xfId="0" applyNumberFormat="1" applyBorder="1"/>
    <xf numFmtId="14" fontId="3" fillId="2" borderId="3" xfId="0" applyNumberFormat="1" applyFont="1" applyFill="1" applyBorder="1" applyAlignment="1">
      <alignment horizontal="center" vertical="center" wrapText="1"/>
    </xf>
    <xf numFmtId="14" fontId="3" fillId="2" borderId="4" xfId="0" applyNumberFormat="1" applyFont="1" applyFill="1" applyBorder="1" applyAlignment="1">
      <alignment horizontal="center" vertical="center" wrapText="1"/>
    </xf>
    <xf numFmtId="0" fontId="3" fillId="2" borderId="4" xfId="0" applyFont="1" applyFill="1" applyBorder="1" applyAlignment="1">
      <alignment horizontal="center" vertical="center" wrapText="1"/>
    </xf>
    <xf numFmtId="165" fontId="3" fillId="2" borderId="4" xfId="0" applyNumberFormat="1" applyFont="1" applyFill="1" applyBorder="1" applyAlignment="1">
      <alignment horizontal="center" vertical="center" wrapText="1"/>
    </xf>
    <xf numFmtId="166" fontId="3" fillId="2" borderId="4" xfId="0" applyNumberFormat="1" applyFont="1" applyFill="1" applyBorder="1" applyAlignment="1">
      <alignment horizontal="center" vertical="center" wrapText="1"/>
    </xf>
    <xf numFmtId="43" fontId="3" fillId="2" borderId="4" xfId="0" applyNumberFormat="1" applyFont="1" applyFill="1" applyBorder="1" applyAlignment="1">
      <alignment horizontal="center" vertical="center" wrapText="1"/>
    </xf>
    <xf numFmtId="43" fontId="3" fillId="2" borderId="5" xfId="0" applyNumberFormat="1" applyFont="1" applyFill="1" applyBorder="1" applyAlignment="1">
      <alignment horizontal="center" vertical="center" wrapText="1"/>
    </xf>
    <xf numFmtId="0" fontId="2" fillId="0" borderId="0" xfId="0" applyFont="1" applyAlignment="1">
      <alignment horizontal="center" vertical="center"/>
    </xf>
    <xf numFmtId="0" fontId="0" fillId="0" borderId="10" xfId="0" applyBorder="1" applyAlignment="1">
      <alignment horizontal="center" vertical="center"/>
    </xf>
    <xf numFmtId="0" fontId="0" fillId="0" borderId="11" xfId="0" applyBorder="1" applyAlignment="1">
      <alignment vertical="center"/>
    </xf>
    <xf numFmtId="0" fontId="0" fillId="2" borderId="0" xfId="0" applyFill="1"/>
    <xf numFmtId="0" fontId="0" fillId="0" borderId="12" xfId="0" applyBorder="1" applyAlignment="1">
      <alignment horizontal="center" vertical="center"/>
    </xf>
    <xf numFmtId="0" fontId="0" fillId="0" borderId="12" xfId="0" applyBorder="1" applyAlignment="1">
      <alignment horizontal="left" vertical="center"/>
    </xf>
    <xf numFmtId="0" fontId="0" fillId="0" borderId="9" xfId="0" applyBorder="1"/>
    <xf numFmtId="0" fontId="0" fillId="0" borderId="13" xfId="0" applyBorder="1"/>
    <xf numFmtId="0" fontId="0" fillId="0" borderId="10" xfId="0" applyBorder="1"/>
    <xf numFmtId="0" fontId="0" fillId="0" borderId="6" xfId="0" applyBorder="1"/>
    <xf numFmtId="0" fontId="0" fillId="0" borderId="8" xfId="0" applyBorder="1"/>
    <xf numFmtId="0" fontId="0" fillId="0" borderId="7" xfId="0" applyBorder="1"/>
    <xf numFmtId="0" fontId="0" fillId="2" borderId="0" xfId="0" applyFill="1" applyAlignment="1">
      <alignment horizontal="center"/>
    </xf>
    <xf numFmtId="164" fontId="3" fillId="2" borderId="3" xfId="0" applyNumberFormat="1" applyFont="1" applyFill="1" applyBorder="1" applyAlignment="1">
      <alignment horizontal="center" vertical="center" wrapText="1"/>
    </xf>
    <xf numFmtId="164" fontId="0" fillId="0" borderId="0" xfId="0" applyNumberFormat="1" applyAlignment="1">
      <alignment horizontal="center"/>
    </xf>
    <xf numFmtId="0" fontId="0" fillId="3" borderId="11" xfId="0" applyFill="1" applyBorder="1" applyAlignment="1">
      <alignment horizontal="center"/>
    </xf>
    <xf numFmtId="0" fontId="0" fillId="2" borderId="11" xfId="0" applyFill="1" applyBorder="1" applyAlignment="1">
      <alignment horizontal="center"/>
    </xf>
    <xf numFmtId="0" fontId="0" fillId="3" borderId="0" xfId="0" applyFill="1" applyAlignment="1">
      <alignment horizontal="center"/>
    </xf>
    <xf numFmtId="167" fontId="0" fillId="0" borderId="0" xfId="0" applyNumberFormat="1"/>
    <xf numFmtId="0" fontId="0" fillId="2" borderId="0" xfId="0" applyFill="1" applyAlignment="1">
      <alignment horizontal="center" vertical="center"/>
    </xf>
    <xf numFmtId="0" fontId="0" fillId="0" borderId="0" xfId="0" applyAlignment="1">
      <alignment vertical="center"/>
    </xf>
    <xf numFmtId="168" fontId="0" fillId="0" borderId="0" xfId="0" applyNumberFormat="1"/>
    <xf numFmtId="39" fontId="0" fillId="0" borderId="0" xfId="0" applyNumberFormat="1"/>
    <xf numFmtId="168" fontId="3" fillId="2" borderId="3" xfId="0" applyNumberFormat="1" applyFont="1" applyFill="1" applyBorder="1" applyAlignment="1">
      <alignment horizontal="center" vertical="center" wrapText="1"/>
    </xf>
    <xf numFmtId="168" fontId="0" fillId="0" borderId="0" xfId="0" applyNumberFormat="1" applyAlignment="1">
      <alignment horizontal="center"/>
    </xf>
    <xf numFmtId="39" fontId="3" fillId="2" borderId="4" xfId="0" applyNumberFormat="1" applyFont="1" applyFill="1" applyBorder="1" applyAlignment="1">
      <alignment horizontal="center" vertical="center" wrapText="1"/>
    </xf>
    <xf numFmtId="0" fontId="0" fillId="4" borderId="0" xfId="0" applyFill="1"/>
    <xf numFmtId="0" fontId="2" fillId="4" borderId="0" xfId="0" applyFont="1" applyFill="1"/>
    <xf numFmtId="0" fontId="2" fillId="4" borderId="0" xfId="0" applyFont="1" applyFill="1" applyAlignment="1">
      <alignment horizontal="center" vertical="center"/>
    </xf>
    <xf numFmtId="0" fontId="0" fillId="0" borderId="0" xfId="0" applyAlignment="1">
      <alignment horizontal="center"/>
    </xf>
    <xf numFmtId="0" fontId="0" fillId="0" borderId="0" xfId="0" applyAlignment="1">
      <alignment horizontal="center" vertical="center"/>
    </xf>
    <xf numFmtId="0" fontId="2" fillId="0" borderId="15" xfId="0" applyFont="1" applyBorder="1" applyAlignment="1">
      <alignment horizontal="center" vertical="center"/>
    </xf>
    <xf numFmtId="0" fontId="0" fillId="0" borderId="15" xfId="0" applyBorder="1"/>
    <xf numFmtId="43" fontId="0" fillId="0" borderId="15" xfId="0" applyNumberFormat="1" applyBorder="1"/>
    <xf numFmtId="0" fontId="0" fillId="5" borderId="15" xfId="0" applyFill="1" applyBorder="1"/>
    <xf numFmtId="43" fontId="0" fillId="5" borderId="15" xfId="0" applyNumberFormat="1" applyFill="1" applyBorder="1"/>
    <xf numFmtId="0" fontId="8" fillId="0" borderId="0" xfId="0" applyFont="1" applyAlignment="1">
      <alignment vertical="center" wrapText="1"/>
    </xf>
    <xf numFmtId="0" fontId="8" fillId="0" borderId="0" xfId="0" applyFont="1" applyAlignment="1">
      <alignment wrapText="1"/>
    </xf>
    <xf numFmtId="0" fontId="10" fillId="0" borderId="0" xfId="2" applyFont="1" applyAlignment="1">
      <alignment horizontal="left"/>
    </xf>
    <xf numFmtId="43" fontId="10" fillId="0" borderId="0" xfId="1" applyFont="1" applyAlignment="1">
      <alignment horizontal="left"/>
    </xf>
    <xf numFmtId="9" fontId="8" fillId="0" borderId="0" xfId="0" applyNumberFormat="1" applyFont="1" applyAlignment="1">
      <alignment horizontal="center" wrapText="1"/>
    </xf>
    <xf numFmtId="0" fontId="10" fillId="6" borderId="0" xfId="2" applyFont="1" applyFill="1" applyAlignment="1">
      <alignment horizontal="left"/>
    </xf>
    <xf numFmtId="0" fontId="11" fillId="0" borderId="16" xfId="0" applyFont="1" applyBorder="1" applyAlignment="1">
      <alignment horizontal="left" wrapText="1"/>
    </xf>
    <xf numFmtId="0" fontId="8" fillId="0" borderId="0" xfId="0" applyFont="1" applyAlignment="1">
      <alignment horizontal="center" vertical="center" wrapText="1"/>
    </xf>
    <xf numFmtId="43" fontId="8" fillId="0" borderId="0" xfId="1" applyFont="1" applyFill="1" applyAlignment="1">
      <alignment horizontal="center" vertical="center" wrapText="1"/>
    </xf>
    <xf numFmtId="0" fontId="8" fillId="0" borderId="0" xfId="0" applyFont="1" applyAlignment="1">
      <alignment horizontal="left" wrapText="1"/>
    </xf>
    <xf numFmtId="43" fontId="8" fillId="6" borderId="0" xfId="1" applyFont="1" applyFill="1" applyAlignment="1">
      <alignment wrapText="1"/>
    </xf>
    <xf numFmtId="43" fontId="8" fillId="0" borderId="0" xfId="1" applyFont="1" applyFill="1" applyAlignment="1">
      <alignment wrapText="1"/>
    </xf>
    <xf numFmtId="0" fontId="16" fillId="0" borderId="0" xfId="0" applyFont="1" applyAlignment="1">
      <alignment wrapText="1"/>
    </xf>
    <xf numFmtId="0" fontId="14" fillId="0" borderId="2" xfId="0" applyFont="1" applyBorder="1" applyAlignment="1">
      <alignment horizontal="center" vertical="center" wrapText="1"/>
    </xf>
    <xf numFmtId="1" fontId="14" fillId="0" borderId="2" xfId="1" applyNumberFormat="1" applyFont="1" applyFill="1" applyBorder="1" applyAlignment="1">
      <alignment horizontal="center" vertical="center" wrapText="1"/>
    </xf>
    <xf numFmtId="0" fontId="14" fillId="6" borderId="2" xfId="0" applyFont="1" applyFill="1" applyBorder="1" applyAlignment="1">
      <alignment horizontal="center" vertical="center" wrapText="1"/>
    </xf>
    <xf numFmtId="0" fontId="16" fillId="0" borderId="1" xfId="0" applyFont="1" applyBorder="1" applyAlignment="1">
      <alignment horizontal="center" vertical="center" wrapText="1"/>
    </xf>
    <xf numFmtId="43" fontId="14" fillId="0" borderId="2" xfId="1" applyFont="1" applyFill="1" applyBorder="1" applyAlignment="1">
      <alignment horizontal="center" wrapText="1"/>
    </xf>
    <xf numFmtId="0" fontId="14" fillId="0" borderId="2" xfId="0" applyFont="1" applyBorder="1" applyAlignment="1">
      <alignment vertical="center" wrapText="1"/>
    </xf>
    <xf numFmtId="0" fontId="16" fillId="0" borderId="2" xfId="0" applyFont="1" applyBorder="1" applyAlignment="1">
      <alignment horizontal="center" vertical="center" wrapText="1"/>
    </xf>
    <xf numFmtId="43" fontId="16" fillId="0" borderId="2" xfId="1" applyFont="1" applyFill="1" applyBorder="1" applyAlignment="1">
      <alignment horizontal="center" vertical="center" wrapText="1"/>
    </xf>
    <xf numFmtId="0" fontId="17" fillId="0" borderId="11" xfId="0" applyFont="1" applyBorder="1" applyAlignment="1">
      <alignment horizontal="center" vertical="center"/>
    </xf>
    <xf numFmtId="0" fontId="17" fillId="0" borderId="11" xfId="0" applyFont="1" applyBorder="1" applyAlignment="1">
      <alignment vertical="center" wrapText="1"/>
    </xf>
    <xf numFmtId="49" fontId="17" fillId="0" borderId="11" xfId="0" applyNumberFormat="1" applyFont="1" applyBorder="1" applyAlignment="1">
      <alignment vertical="center"/>
    </xf>
    <xf numFmtId="2" fontId="19" fillId="6" borderId="11" xfId="0" applyNumberFormat="1" applyFont="1" applyFill="1" applyBorder="1" applyAlignment="1">
      <alignment horizontal="center" vertical="center"/>
    </xf>
    <xf numFmtId="43" fontId="17" fillId="0" borderId="11" xfId="1" applyFont="1" applyFill="1" applyBorder="1" applyAlignment="1">
      <alignment vertical="center" wrapText="1"/>
    </xf>
    <xf numFmtId="43" fontId="17" fillId="0" borderId="11" xfId="1" applyFont="1" applyFill="1" applyBorder="1" applyAlignment="1">
      <alignment horizontal="center" vertical="center" wrapText="1"/>
    </xf>
    <xf numFmtId="43" fontId="17" fillId="6" borderId="11" xfId="1" applyFont="1" applyFill="1" applyBorder="1" applyAlignment="1">
      <alignment horizontal="center" vertical="center" wrapText="1"/>
    </xf>
    <xf numFmtId="43" fontId="17" fillId="0" borderId="11" xfId="0" applyNumberFormat="1" applyFont="1" applyBorder="1" applyAlignment="1">
      <alignment vertical="center" wrapText="1"/>
    </xf>
    <xf numFmtId="9" fontId="17" fillId="0" borderId="11" xfId="0" applyNumberFormat="1" applyFont="1" applyBorder="1" applyAlignment="1">
      <alignment horizontal="center" vertical="center" wrapText="1"/>
    </xf>
    <xf numFmtId="0" fontId="17" fillId="0" borderId="0" xfId="0" applyFont="1" applyAlignment="1">
      <alignment vertical="top" wrapText="1"/>
    </xf>
    <xf numFmtId="0" fontId="17" fillId="6" borderId="11" xfId="0" applyFont="1" applyFill="1" applyBorder="1" applyAlignment="1">
      <alignment horizontal="center" vertical="center"/>
    </xf>
    <xf numFmtId="43" fontId="17" fillId="6" borderId="11" xfId="1" applyFont="1" applyFill="1" applyBorder="1" applyAlignment="1">
      <alignment vertical="center" wrapText="1"/>
    </xf>
    <xf numFmtId="9" fontId="17" fillId="6" borderId="11" xfId="0" applyNumberFormat="1" applyFont="1" applyFill="1" applyBorder="1" applyAlignment="1">
      <alignment horizontal="center" vertical="center" wrapText="1"/>
    </xf>
    <xf numFmtId="0" fontId="17" fillId="6" borderId="11" xfId="0" applyFont="1" applyFill="1" applyBorder="1" applyAlignment="1">
      <alignment vertical="center" wrapText="1"/>
    </xf>
    <xf numFmtId="0" fontId="17" fillId="6" borderId="0" xfId="0" applyFont="1" applyFill="1" applyAlignment="1">
      <alignment vertical="top" wrapText="1"/>
    </xf>
    <xf numFmtId="0" fontId="20" fillId="0" borderId="11" xfId="0" applyFont="1" applyBorder="1" applyAlignment="1">
      <alignment horizontal="center" vertical="top"/>
    </xf>
    <xf numFmtId="0" fontId="21" fillId="0" borderId="11" xfId="0" applyFont="1" applyBorder="1" applyAlignment="1">
      <alignment vertical="center" wrapText="1"/>
    </xf>
    <xf numFmtId="0" fontId="21" fillId="0" borderId="11" xfId="0" applyFont="1" applyBorder="1" applyAlignment="1">
      <alignment horizontal="center" vertical="top" wrapText="1"/>
    </xf>
    <xf numFmtId="43" fontId="20" fillId="0" borderId="11" xfId="1" applyFont="1" applyBorder="1" applyAlignment="1">
      <alignment horizontal="center" vertical="center"/>
    </xf>
    <xf numFmtId="0" fontId="20" fillId="0" borderId="11" xfId="0" applyFont="1" applyBorder="1" applyAlignment="1">
      <alignment vertical="center" wrapText="1"/>
    </xf>
    <xf numFmtId="43" fontId="20" fillId="0" borderId="11" xfId="1" applyFont="1" applyBorder="1" applyAlignment="1">
      <alignment vertical="center"/>
    </xf>
    <xf numFmtId="43" fontId="20" fillId="0" borderId="11" xfId="1" applyFont="1" applyFill="1" applyBorder="1" applyAlignment="1">
      <alignment vertical="center" wrapText="1"/>
    </xf>
    <xf numFmtId="43" fontId="20" fillId="6" borderId="11" xfId="1" applyFont="1" applyFill="1" applyBorder="1" applyAlignment="1">
      <alignment horizontal="center" vertical="center" wrapText="1"/>
    </xf>
    <xf numFmtId="43" fontId="20" fillId="0" borderId="11" xfId="0" applyNumberFormat="1" applyFont="1" applyBorder="1" applyAlignment="1">
      <alignment vertical="center" wrapText="1"/>
    </xf>
    <xf numFmtId="9" fontId="20" fillId="0" borderId="11" xfId="0" applyNumberFormat="1" applyFont="1" applyBorder="1" applyAlignment="1">
      <alignment horizontal="center" vertical="center" wrapText="1"/>
    </xf>
    <xf numFmtId="9" fontId="17" fillId="0" borderId="0" xfId="0" applyNumberFormat="1" applyFont="1" applyAlignment="1">
      <alignment vertical="top" wrapText="1"/>
    </xf>
    <xf numFmtId="0" fontId="10" fillId="0" borderId="0" xfId="2" applyFont="1" applyAlignment="1">
      <alignment horizontal="center"/>
    </xf>
    <xf numFmtId="0" fontId="11" fillId="0" borderId="16" xfId="0" applyFont="1" applyBorder="1" applyAlignment="1">
      <alignment horizontal="center" wrapText="1"/>
    </xf>
    <xf numFmtId="2" fontId="17" fillId="0" borderId="11" xfId="0" applyNumberFormat="1" applyFont="1" applyBorder="1" applyAlignment="1">
      <alignment horizontal="center" vertical="center"/>
    </xf>
    <xf numFmtId="0" fontId="17" fillId="0" borderId="11" xfId="0" applyFont="1" applyBorder="1" applyAlignment="1">
      <alignment horizontal="center" vertical="center" wrapText="1"/>
    </xf>
    <xf numFmtId="2" fontId="17" fillId="6" borderId="11" xfId="0" applyNumberFormat="1" applyFont="1" applyFill="1" applyBorder="1" applyAlignment="1">
      <alignment horizontal="center" vertical="center"/>
    </xf>
    <xf numFmtId="0" fontId="17" fillId="6" borderId="11" xfId="0" applyFont="1" applyFill="1" applyBorder="1" applyAlignment="1">
      <alignment horizontal="center" vertical="center" wrapText="1"/>
    </xf>
    <xf numFmtId="2" fontId="17" fillId="0" borderId="11" xfId="0" applyNumberFormat="1" applyFont="1" applyBorder="1" applyAlignment="1">
      <alignment horizontal="center" vertical="center" wrapText="1"/>
    </xf>
    <xf numFmtId="169" fontId="17" fillId="0" borderId="11" xfId="0" applyNumberFormat="1" applyFont="1" applyBorder="1" applyAlignment="1">
      <alignment horizontal="center" vertical="center" wrapText="1"/>
    </xf>
    <xf numFmtId="2" fontId="20" fillId="0" borderId="11" xfId="0" applyNumberFormat="1" applyFont="1" applyBorder="1" applyAlignment="1">
      <alignment horizontal="center" vertical="center"/>
    </xf>
    <xf numFmtId="49" fontId="20" fillId="0" borderId="11" xfId="0" applyNumberFormat="1" applyFont="1" applyBorder="1" applyAlignment="1">
      <alignment horizontal="center" vertical="center"/>
    </xf>
    <xf numFmtId="0" fontId="10" fillId="0" borderId="0" xfId="2" applyFont="1"/>
    <xf numFmtId="43" fontId="10" fillId="0" borderId="0" xfId="1" applyFont="1" applyAlignment="1"/>
    <xf numFmtId="0" fontId="24" fillId="0" borderId="7" xfId="0" applyFont="1" applyBorder="1" applyAlignment="1">
      <alignment horizontal="center" vertical="center"/>
    </xf>
    <xf numFmtId="0" fontId="24" fillId="0" borderId="11" xfId="0" applyFont="1" applyBorder="1" applyAlignment="1">
      <alignment horizontal="center" vertical="center"/>
    </xf>
    <xf numFmtId="43" fontId="26" fillId="0" borderId="29" xfId="1" applyFont="1" applyBorder="1" applyAlignment="1">
      <alignment horizontal="center" vertical="center"/>
    </xf>
    <xf numFmtId="43" fontId="26" fillId="6" borderId="29" xfId="1" applyFont="1" applyFill="1" applyBorder="1" applyAlignment="1">
      <alignment horizontal="center" vertical="center"/>
    </xf>
    <xf numFmtId="43" fontId="24" fillId="0" borderId="11" xfId="1" applyFont="1" applyBorder="1" applyAlignment="1">
      <alignment horizontal="center" vertical="center"/>
    </xf>
    <xf numFmtId="43" fontId="26" fillId="0" borderId="11" xfId="1" applyFont="1" applyBorder="1" applyAlignment="1">
      <alignment horizontal="center" vertical="center"/>
    </xf>
    <xf numFmtId="0" fontId="24" fillId="0" borderId="4" xfId="0" applyFont="1" applyBorder="1" applyAlignment="1">
      <alignment horizontal="center" vertical="center"/>
    </xf>
    <xf numFmtId="43" fontId="26" fillId="0" borderId="22" xfId="1" applyFont="1" applyBorder="1" applyAlignment="1">
      <alignment horizontal="center" vertical="center"/>
    </xf>
    <xf numFmtId="43" fontId="26" fillId="3" borderId="29" xfId="1" applyFont="1" applyFill="1" applyBorder="1" applyAlignment="1">
      <alignment horizontal="center" vertical="center"/>
    </xf>
    <xf numFmtId="43" fontId="26" fillId="3" borderId="22" xfId="1" applyFont="1" applyFill="1" applyBorder="1" applyAlignment="1">
      <alignment horizontal="center" vertical="center"/>
    </xf>
    <xf numFmtId="43" fontId="24" fillId="3" borderId="11" xfId="1" applyFont="1" applyFill="1" applyBorder="1" applyAlignment="1">
      <alignment horizontal="center" vertical="center"/>
    </xf>
    <xf numFmtId="43" fontId="24" fillId="0" borderId="29" xfId="1" applyFont="1" applyBorder="1" applyAlignment="1">
      <alignment horizontal="center" vertical="center"/>
    </xf>
    <xf numFmtId="0" fontId="24" fillId="0" borderId="4" xfId="0" applyFont="1" applyBorder="1" applyAlignment="1">
      <alignment horizontal="center" vertical="center" wrapText="1"/>
    </xf>
    <xf numFmtId="43" fontId="25" fillId="0" borderId="31" xfId="1" applyFont="1" applyBorder="1" applyAlignment="1">
      <alignment horizontal="center" vertical="center" wrapText="1"/>
    </xf>
    <xf numFmtId="43" fontId="25" fillId="0" borderId="30" xfId="1" applyFont="1" applyBorder="1" applyAlignment="1">
      <alignment horizontal="center" vertical="center" wrapText="1"/>
    </xf>
    <xf numFmtId="0" fontId="25" fillId="0" borderId="30" xfId="0" applyFont="1" applyBorder="1" applyAlignment="1">
      <alignment horizontal="center" vertical="center" wrapText="1"/>
    </xf>
    <xf numFmtId="0" fontId="25" fillId="0" borderId="32" xfId="0" applyFont="1" applyBorder="1" applyAlignment="1">
      <alignment horizontal="center" vertical="center" wrapText="1"/>
    </xf>
    <xf numFmtId="0" fontId="25" fillId="0" borderId="33" xfId="0" applyFont="1" applyBorder="1" applyAlignment="1">
      <alignment horizontal="center" vertical="center" wrapText="1"/>
    </xf>
    <xf numFmtId="43" fontId="26" fillId="0" borderId="12" xfId="1" applyFont="1" applyBorder="1" applyAlignment="1">
      <alignment horizontal="center" vertical="center"/>
    </xf>
    <xf numFmtId="0" fontId="24" fillId="0" borderId="0" xfId="0" applyFont="1" applyAlignment="1">
      <alignment horizontal="center" vertical="center" wrapText="1"/>
    </xf>
    <xf numFmtId="43" fontId="24" fillId="0" borderId="23" xfId="0" applyNumberFormat="1" applyFont="1" applyBorder="1" applyAlignment="1">
      <alignment horizontal="center" vertical="center"/>
    </xf>
    <xf numFmtId="43" fontId="26" fillId="0" borderId="29" xfId="1" applyFont="1" applyBorder="1"/>
    <xf numFmtId="43" fontId="26" fillId="3" borderId="29" xfId="1" applyFont="1" applyFill="1" applyBorder="1"/>
    <xf numFmtId="43" fontId="24" fillId="3" borderId="29" xfId="1" applyFont="1" applyFill="1" applyBorder="1" applyAlignment="1">
      <alignment horizontal="center" vertical="center"/>
    </xf>
    <xf numFmtId="43" fontId="26" fillId="3" borderId="2" xfId="1" applyFont="1" applyFill="1" applyBorder="1" applyAlignment="1">
      <alignment horizontal="center" vertical="center"/>
    </xf>
    <xf numFmtId="43" fontId="26" fillId="3" borderId="14" xfId="1" applyFont="1" applyFill="1" applyBorder="1" applyAlignment="1">
      <alignment horizontal="center" vertical="center"/>
    </xf>
    <xf numFmtId="43" fontId="24" fillId="0" borderId="34" xfId="1" applyFont="1" applyBorder="1" applyAlignment="1">
      <alignment horizontal="center" vertical="center" wrapText="1"/>
    </xf>
    <xf numFmtId="43" fontId="26" fillId="0" borderId="35" xfId="1" applyFont="1" applyBorder="1" applyAlignment="1">
      <alignment horizontal="center" vertical="center"/>
    </xf>
    <xf numFmtId="43" fontId="24" fillId="0" borderId="35" xfId="1" applyFont="1" applyBorder="1" applyAlignment="1">
      <alignment horizontal="center" vertical="center"/>
    </xf>
    <xf numFmtId="0" fontId="24" fillId="0" borderId="30" xfId="0" applyFont="1" applyBorder="1" applyAlignment="1">
      <alignment horizontal="center" vertical="center" wrapText="1"/>
    </xf>
    <xf numFmtId="0" fontId="24" fillId="0" borderId="37" xfId="0" applyFont="1" applyBorder="1" applyAlignment="1">
      <alignment horizontal="center"/>
    </xf>
    <xf numFmtId="43" fontId="24" fillId="0" borderId="29" xfId="1" applyFont="1" applyBorder="1" applyAlignment="1">
      <alignment vertical="center"/>
    </xf>
    <xf numFmtId="43" fontId="24" fillId="3" borderId="35" xfId="1" applyFont="1" applyFill="1" applyBorder="1" applyAlignment="1">
      <alignment horizontal="center" vertical="center"/>
    </xf>
    <xf numFmtId="43" fontId="24" fillId="0" borderId="12" xfId="1" applyFont="1" applyBorder="1" applyAlignment="1">
      <alignment horizontal="center" vertical="center"/>
    </xf>
    <xf numFmtId="43" fontId="24" fillId="6" borderId="29" xfId="1" applyFont="1" applyFill="1" applyBorder="1" applyAlignment="1">
      <alignment horizontal="center" vertical="center"/>
    </xf>
    <xf numFmtId="0" fontId="2" fillId="5" borderId="15" xfId="0" applyFont="1" applyFill="1" applyBorder="1" applyAlignment="1">
      <alignment horizontal="center" vertical="center"/>
    </xf>
    <xf numFmtId="0" fontId="2" fillId="0" borderId="17"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2" borderId="0" xfId="0" applyFont="1" applyFill="1" applyAlignment="1">
      <alignment horizontal="center" vertical="center"/>
    </xf>
    <xf numFmtId="0" fontId="4" fillId="2" borderId="0" xfId="0" applyFont="1" applyFill="1" applyAlignment="1">
      <alignment horizontal="center"/>
    </xf>
    <xf numFmtId="0" fontId="5" fillId="2" borderId="0" xfId="0" applyFont="1" applyFill="1" applyAlignment="1">
      <alignment horizontal="center"/>
    </xf>
    <xf numFmtId="14" fontId="0" fillId="0" borderId="8" xfId="0" applyNumberFormat="1"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0" borderId="13" xfId="0" applyBorder="1" applyAlignment="1">
      <alignment horizontal="center"/>
    </xf>
    <xf numFmtId="0" fontId="0" fillId="0" borderId="10" xfId="0" applyBorder="1" applyAlignment="1">
      <alignment horizontal="center"/>
    </xf>
    <xf numFmtId="0" fontId="0" fillId="0" borderId="6" xfId="0" applyBorder="1" applyAlignment="1">
      <alignment horizontal="center" vertical="center"/>
    </xf>
    <xf numFmtId="0" fontId="0" fillId="0" borderId="8" xfId="0" applyBorder="1" applyAlignment="1">
      <alignment horizontal="center"/>
    </xf>
    <xf numFmtId="0" fontId="15" fillId="0" borderId="12" xfId="0" applyFont="1" applyBorder="1" applyAlignment="1">
      <alignment horizontal="center" vertical="center"/>
    </xf>
    <xf numFmtId="0" fontId="15" fillId="0" borderId="2" xfId="0" applyFont="1" applyBorder="1" applyAlignment="1">
      <alignment horizontal="center" vertical="center"/>
    </xf>
    <xf numFmtId="0" fontId="13" fillId="0" borderId="24" xfId="3" applyFont="1" applyBorder="1" applyAlignment="1">
      <alignment horizontal="center" vertical="center" wrapText="1"/>
    </xf>
    <xf numFmtId="0" fontId="13" fillId="0" borderId="2" xfId="3" applyFont="1" applyBorder="1" applyAlignment="1">
      <alignment horizontal="center" vertical="center" wrapText="1"/>
    </xf>
    <xf numFmtId="0" fontId="14" fillId="6" borderId="21" xfId="0" applyFont="1" applyFill="1" applyBorder="1" applyAlignment="1">
      <alignment horizontal="center" vertical="center" wrapText="1"/>
    </xf>
    <xf numFmtId="0" fontId="14" fillId="6" borderId="12" xfId="0" applyFont="1" applyFill="1" applyBorder="1" applyAlignment="1">
      <alignment horizontal="center" vertical="center" wrapText="1"/>
    </xf>
    <xf numFmtId="43" fontId="14" fillId="0" borderId="21" xfId="1" applyFont="1" applyFill="1" applyBorder="1" applyAlignment="1">
      <alignment horizontal="center" vertical="center" wrapText="1"/>
    </xf>
    <xf numFmtId="43" fontId="14" fillId="0" borderId="12" xfId="1" applyFont="1" applyFill="1" applyBorder="1" applyAlignment="1">
      <alignment horizontal="center" vertical="center" wrapText="1"/>
    </xf>
    <xf numFmtId="0" fontId="14" fillId="0" borderId="21" xfId="0" applyFont="1" applyBorder="1" applyAlignment="1">
      <alignment horizontal="center" vertical="center" wrapText="1"/>
    </xf>
    <xf numFmtId="0" fontId="14" fillId="0" borderId="12" xfId="0" applyFont="1" applyBorder="1" applyAlignment="1">
      <alignment horizontal="center" vertical="center" wrapText="1"/>
    </xf>
    <xf numFmtId="43" fontId="14" fillId="0" borderId="24" xfId="1" applyFont="1" applyFill="1" applyBorder="1" applyAlignment="1">
      <alignment horizontal="center" vertical="center" wrapText="1"/>
    </xf>
    <xf numFmtId="43" fontId="14" fillId="0" borderId="2" xfId="1" applyFont="1" applyFill="1" applyBorder="1" applyAlignment="1">
      <alignment horizontal="center" vertical="center" wrapText="1"/>
    </xf>
    <xf numFmtId="0" fontId="14" fillId="0" borderId="24" xfId="0" applyFont="1" applyBorder="1" applyAlignment="1">
      <alignment horizontal="center" vertical="center" wrapText="1"/>
    </xf>
    <xf numFmtId="0" fontId="14" fillId="0" borderId="2" xfId="0" applyFont="1" applyBorder="1" applyAlignment="1">
      <alignment horizontal="center" vertical="center" wrapText="1"/>
    </xf>
    <xf numFmtId="0" fontId="18" fillId="0" borderId="12" xfId="4" applyFont="1" applyBorder="1" applyAlignment="1">
      <alignment horizontal="left" vertical="center" textRotation="90" wrapText="1"/>
    </xf>
    <xf numFmtId="0" fontId="18" fillId="0" borderId="2" xfId="4" applyFont="1" applyBorder="1" applyAlignment="1">
      <alignment horizontal="left" vertical="center" textRotation="90" wrapText="1"/>
    </xf>
    <xf numFmtId="0" fontId="18" fillId="0" borderId="29" xfId="4" applyFont="1" applyBorder="1" applyAlignment="1">
      <alignment horizontal="left" vertical="center" textRotation="90" wrapText="1"/>
    </xf>
    <xf numFmtId="0" fontId="20" fillId="0" borderId="12"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29" xfId="0" applyFont="1" applyBorder="1" applyAlignment="1">
      <alignment horizontal="center" vertical="center" wrapText="1"/>
    </xf>
    <xf numFmtId="0" fontId="10" fillId="0" borderId="0" xfId="2" applyFont="1" applyAlignment="1">
      <alignment horizontal="left"/>
    </xf>
    <xf numFmtId="43" fontId="10" fillId="0" borderId="0" xfId="1" applyFont="1" applyAlignment="1">
      <alignment horizontal="left"/>
    </xf>
    <xf numFmtId="0" fontId="10" fillId="0" borderId="0" xfId="3" applyFont="1" applyAlignment="1">
      <alignment horizontal="left"/>
    </xf>
    <xf numFmtId="43" fontId="10" fillId="0" borderId="0" xfId="1" applyFont="1" applyFill="1" applyAlignment="1">
      <alignment horizontal="left"/>
    </xf>
    <xf numFmtId="0" fontId="11" fillId="0" borderId="16" xfId="0" applyFont="1" applyBorder="1" applyAlignment="1">
      <alignment horizontal="left" wrapText="1"/>
    </xf>
    <xf numFmtId="0" fontId="12" fillId="0" borderId="20" xfId="3" applyFont="1" applyBorder="1" applyAlignment="1">
      <alignment horizontal="center" vertical="center" wrapText="1"/>
    </xf>
    <xf numFmtId="0" fontId="12" fillId="0" borderId="26" xfId="3" applyFont="1" applyBorder="1" applyAlignment="1">
      <alignment horizontal="center" vertical="center" wrapText="1"/>
    </xf>
    <xf numFmtId="0" fontId="12" fillId="0" borderId="28" xfId="3" applyFont="1" applyBorder="1" applyAlignment="1">
      <alignment horizontal="center" vertical="center" wrapText="1"/>
    </xf>
    <xf numFmtId="0" fontId="13" fillId="0" borderId="21" xfId="3" applyFont="1" applyBorder="1" applyAlignment="1">
      <alignment horizontal="center" vertical="center" wrapText="1"/>
    </xf>
    <xf numFmtId="0" fontId="13" fillId="0" borderId="11" xfId="3" applyFont="1" applyBorder="1" applyAlignment="1">
      <alignment horizontal="center" vertical="center" wrapText="1"/>
    </xf>
    <xf numFmtId="0" fontId="13" fillId="0" borderId="12" xfId="3" applyFont="1" applyBorder="1" applyAlignment="1">
      <alignment horizontal="center" vertical="center" wrapText="1"/>
    </xf>
    <xf numFmtId="4" fontId="14" fillId="0" borderId="2" xfId="0" applyNumberFormat="1" applyFont="1" applyBorder="1" applyAlignment="1">
      <alignment horizontal="center" vertical="center" wrapText="1"/>
    </xf>
    <xf numFmtId="0" fontId="15" fillId="0" borderId="22" xfId="0" applyFont="1" applyBorder="1" applyAlignment="1">
      <alignment horizontal="center" vertical="center"/>
    </xf>
    <xf numFmtId="0" fontId="15" fillId="0" borderId="23" xfId="0" applyFont="1" applyBorder="1" applyAlignment="1">
      <alignment horizontal="center" vertical="center"/>
    </xf>
    <xf numFmtId="43" fontId="13" fillId="0" borderId="21" xfId="1" applyFont="1" applyFill="1" applyBorder="1" applyAlignment="1">
      <alignment horizontal="center" vertical="center" wrapText="1"/>
    </xf>
    <xf numFmtId="43" fontId="13" fillId="0" borderId="11" xfId="1" applyFont="1" applyFill="1" applyBorder="1" applyAlignment="1">
      <alignment horizontal="center" vertical="center" wrapText="1"/>
    </xf>
    <xf numFmtId="43" fontId="13" fillId="0" borderId="12" xfId="1" applyFont="1" applyFill="1" applyBorder="1" applyAlignment="1">
      <alignment horizontal="center" vertical="center" wrapText="1"/>
    </xf>
    <xf numFmtId="0" fontId="16" fillId="0" borderId="2" xfId="0" applyFont="1" applyBorder="1"/>
    <xf numFmtId="9" fontId="14" fillId="0" borderId="25" xfId="0" applyNumberFormat="1" applyFont="1" applyBorder="1" applyAlignment="1">
      <alignment horizontal="center" vertical="center" textRotation="90" wrapText="1"/>
    </xf>
    <xf numFmtId="9" fontId="14" fillId="0" borderId="27" xfId="0" applyNumberFormat="1" applyFont="1" applyBorder="1" applyAlignment="1">
      <alignment horizontal="center" vertical="center" textRotation="90" wrapText="1"/>
    </xf>
    <xf numFmtId="0" fontId="15" fillId="0" borderId="12" xfId="0" applyFont="1" applyBorder="1" applyAlignment="1">
      <alignment horizontal="center" vertical="center" wrapText="1"/>
    </xf>
    <xf numFmtId="0" fontId="15" fillId="0" borderId="2" xfId="0" applyFont="1" applyBorder="1" applyAlignment="1">
      <alignment horizontal="center" vertical="center" wrapText="1"/>
    </xf>
    <xf numFmtId="43" fontId="26" fillId="0" borderId="11" xfId="0" applyNumberFormat="1" applyFont="1" applyBorder="1" applyAlignment="1">
      <alignment horizontal="center" vertical="center" wrapText="1"/>
    </xf>
    <xf numFmtId="0" fontId="26" fillId="0" borderId="11" xfId="0" applyFont="1" applyBorder="1" applyAlignment="1">
      <alignment horizontal="center" vertical="center" wrapText="1"/>
    </xf>
    <xf numFmtId="0" fontId="26" fillId="0" borderId="35" xfId="0" applyFont="1" applyBorder="1" applyAlignment="1">
      <alignment horizontal="center" vertical="center" wrapText="1"/>
    </xf>
    <xf numFmtId="0" fontId="24" fillId="0" borderId="6" xfId="0" applyFont="1" applyBorder="1" applyAlignment="1">
      <alignment horizontal="center" vertical="center"/>
    </xf>
    <xf numFmtId="0" fontId="24" fillId="0" borderId="7" xfId="0" applyFont="1" applyBorder="1" applyAlignment="1">
      <alignment horizontal="center" vertical="center"/>
    </xf>
    <xf numFmtId="0" fontId="26" fillId="0" borderId="11" xfId="0" applyFont="1" applyBorder="1" applyAlignment="1">
      <alignment horizontal="center" vertical="center"/>
    </xf>
    <xf numFmtId="0" fontId="26" fillId="0" borderId="35" xfId="0" applyFont="1" applyBorder="1" applyAlignment="1">
      <alignment horizontal="center" vertical="center"/>
    </xf>
    <xf numFmtId="0" fontId="26" fillId="0" borderId="12" xfId="0" applyFont="1" applyBorder="1" applyAlignment="1">
      <alignment horizontal="left" vertical="center" wrapText="1"/>
    </xf>
    <xf numFmtId="0" fontId="26" fillId="0" borderId="30" xfId="0" applyFont="1" applyBorder="1" applyAlignment="1">
      <alignment horizontal="left" vertical="center" wrapText="1"/>
    </xf>
    <xf numFmtId="0" fontId="26" fillId="0" borderId="29" xfId="0" applyFont="1" applyBorder="1" applyAlignment="1">
      <alignment horizontal="left" vertical="center" wrapText="1"/>
    </xf>
    <xf numFmtId="0" fontId="26" fillId="0" borderId="24" xfId="0" applyFont="1" applyBorder="1" applyAlignment="1">
      <alignment horizontal="left" vertical="center" wrapText="1"/>
    </xf>
    <xf numFmtId="0" fontId="24" fillId="0" borderId="11" xfId="0"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xf>
    <xf numFmtId="0" fontId="24" fillId="0" borderId="29" xfId="0" applyFont="1" applyBorder="1" applyAlignment="1">
      <alignment horizontal="center" vertical="center"/>
    </xf>
    <xf numFmtId="0" fontId="24" fillId="0" borderId="23" xfId="0" applyFont="1" applyBorder="1" applyAlignment="1">
      <alignment horizontal="center" vertical="center"/>
    </xf>
    <xf numFmtId="0" fontId="26" fillId="0" borderId="29" xfId="0" applyFont="1" applyBorder="1" applyAlignment="1">
      <alignment horizontal="center" vertical="center"/>
    </xf>
    <xf numFmtId="0" fontId="23" fillId="0" borderId="16" xfId="0" applyFont="1" applyBorder="1" applyAlignment="1">
      <alignment vertical="center"/>
    </xf>
  </cellXfs>
  <cellStyles count="5">
    <cellStyle name="Comma" xfId="1" builtinId="3"/>
    <cellStyle name="Normal" xfId="0" builtinId="0"/>
    <cellStyle name="Normal 6" xfId="4" xr:uid="{DF9E7EB6-F927-45F8-AAF8-0B020DE8B28A}"/>
    <cellStyle name="Normal_Weak Bridges nwFeb. 2012" xfId="2" xr:uid="{BFF5A0A8-52C2-4D0B-98F3-16C4872F27F0}"/>
    <cellStyle name="Normal_Weak Bridges nwFeb. 2012_PRO OF ON GOING-Janu-2013" xfId="3" xr:uid="{529DEFAF-9625-44C9-B57E-964ABE73A8A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297180</xdr:colOff>
          <xdr:row>12</xdr:row>
          <xdr:rowOff>121920</xdr:rowOff>
        </xdr:from>
        <xdr:to>
          <xdr:col>0</xdr:col>
          <xdr:colOff>1577340</xdr:colOff>
          <xdr:row>15</xdr:row>
          <xdr:rowOff>144780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289560</xdr:colOff>
          <xdr:row>15</xdr:row>
          <xdr:rowOff>144780</xdr:rowOff>
        </xdr:from>
        <xdr:to>
          <xdr:col>0</xdr:col>
          <xdr:colOff>1569720</xdr:colOff>
          <xdr:row>19</xdr:row>
          <xdr:rowOff>99060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Print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22860</xdr:colOff>
          <xdr:row>5</xdr:row>
          <xdr:rowOff>175260</xdr:rowOff>
        </xdr:from>
        <xdr:to>
          <xdr:col>19</xdr:col>
          <xdr:colOff>1356360</xdr:colOff>
          <xdr:row>7</xdr:row>
          <xdr:rowOff>7620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Calibri"/>
                  <a:cs typeface="Calibri"/>
                </a:rPr>
                <a:t>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30480</xdr:colOff>
          <xdr:row>7</xdr:row>
          <xdr:rowOff>22860</xdr:rowOff>
        </xdr:from>
        <xdr:to>
          <xdr:col>19</xdr:col>
          <xdr:colOff>1363980</xdr:colOff>
          <xdr:row>10</xdr:row>
          <xdr:rowOff>68580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Calibri"/>
                  <a:cs typeface="Calibri"/>
                </a:rPr>
                <a:t>Print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16"/>
  <sheetViews>
    <sheetView zoomScaleNormal="100" workbookViewId="0">
      <selection activeCell="E19" sqref="E19"/>
    </sheetView>
  </sheetViews>
  <sheetFormatPr defaultRowHeight="14.4" x14ac:dyDescent="0.3"/>
  <cols>
    <col min="1" max="1" width="14.21875" style="5" customWidth="1"/>
    <col min="2" max="2" width="21.88671875" style="9" customWidth="1"/>
    <col min="3" max="3" width="36.44140625" style="9" customWidth="1"/>
    <col min="4" max="4" width="58" style="9" customWidth="1"/>
    <col min="5" max="5" width="19.77734375" style="7" customWidth="1"/>
    <col min="6" max="6" width="27" style="7" customWidth="1"/>
    <col min="7" max="7" width="16.5546875" style="7" customWidth="1"/>
    <col min="8" max="8" width="14" style="10" customWidth="1"/>
    <col min="9" max="9" width="15.109375" style="11" customWidth="1"/>
    <col min="10" max="10" width="15.6640625" style="8" customWidth="1"/>
    <col min="11" max="11" width="19.21875" style="8" customWidth="1"/>
    <col min="12" max="12" width="15.5546875" style="8" customWidth="1"/>
    <col min="13" max="13" width="15.109375" style="8" customWidth="1"/>
    <col min="14" max="14" width="18.88671875" style="8" customWidth="1"/>
    <col min="15" max="15" width="16.33203125" style="8" customWidth="1"/>
    <col min="16" max="16" width="12.33203125" style="8" customWidth="1"/>
    <col min="17" max="17" width="13" style="7" customWidth="1"/>
    <col min="18" max="18" width="13.44140625" style="7" customWidth="1"/>
    <col min="21" max="21" width="28.6640625" customWidth="1"/>
    <col min="22" max="22" width="21.44140625" customWidth="1"/>
  </cols>
  <sheetData>
    <row r="1" spans="1:18" s="1" customFormat="1" ht="70.8" customHeight="1" thickBot="1" x14ac:dyDescent="0.35">
      <c r="A1" s="12" t="s">
        <v>0</v>
      </c>
      <c r="B1" s="13" t="s">
        <v>28</v>
      </c>
      <c r="C1" s="13" t="s">
        <v>27</v>
      </c>
      <c r="D1" s="13" t="s">
        <v>15</v>
      </c>
      <c r="E1" s="14" t="s">
        <v>1</v>
      </c>
      <c r="F1" s="14" t="s">
        <v>2</v>
      </c>
      <c r="G1" s="14" t="s">
        <v>14</v>
      </c>
      <c r="H1" s="15" t="s">
        <v>3</v>
      </c>
      <c r="I1" s="16" t="s">
        <v>4</v>
      </c>
      <c r="J1" s="17" t="s">
        <v>5</v>
      </c>
      <c r="K1" s="17" t="s">
        <v>6</v>
      </c>
      <c r="L1" s="17" t="s">
        <v>7</v>
      </c>
      <c r="M1" s="17" t="s">
        <v>8</v>
      </c>
      <c r="N1" s="17" t="s">
        <v>9</v>
      </c>
      <c r="O1" s="17" t="s">
        <v>10</v>
      </c>
      <c r="P1" s="17" t="s">
        <v>11</v>
      </c>
      <c r="Q1" s="17" t="s">
        <v>12</v>
      </c>
      <c r="R1" s="18" t="s">
        <v>13</v>
      </c>
    </row>
    <row r="2" spans="1:18" x14ac:dyDescent="0.3">
      <c r="A2" s="5" t="s">
        <v>154</v>
      </c>
      <c r="B2" s="6" t="s">
        <v>90</v>
      </c>
      <c r="C2" s="5" t="s">
        <v>30</v>
      </c>
      <c r="D2" s="5" t="s">
        <v>56</v>
      </c>
      <c r="E2" s="7" t="s">
        <v>16</v>
      </c>
      <c r="F2" s="7" t="s">
        <v>21</v>
      </c>
      <c r="G2" s="7" t="s">
        <v>26</v>
      </c>
      <c r="H2" s="8">
        <v>54665</v>
      </c>
      <c r="I2" s="8">
        <v>2545</v>
      </c>
      <c r="J2" s="8">
        <v>53453</v>
      </c>
      <c r="K2" s="8">
        <f>SUM($J$2:J2)</f>
        <v>53453</v>
      </c>
      <c r="L2" s="8">
        <v>58685</v>
      </c>
      <c r="M2" s="8">
        <v>787</v>
      </c>
      <c r="N2" s="8">
        <v>786</v>
      </c>
      <c r="O2" s="8">
        <v>878555</v>
      </c>
    </row>
    <row r="3" spans="1:18" x14ac:dyDescent="0.3">
      <c r="A3" s="5" t="s">
        <v>155</v>
      </c>
      <c r="B3" s="5" t="s">
        <v>90</v>
      </c>
      <c r="C3" s="5" t="s">
        <v>33</v>
      </c>
      <c r="D3" s="5" t="s">
        <v>48</v>
      </c>
      <c r="E3" s="7" t="s">
        <v>17</v>
      </c>
      <c r="F3" s="7" t="s">
        <v>22</v>
      </c>
      <c r="G3" s="7" t="s">
        <v>26</v>
      </c>
      <c r="H3" s="8">
        <v>54665</v>
      </c>
      <c r="I3" s="8">
        <v>2545</v>
      </c>
      <c r="J3" s="8">
        <v>53453</v>
      </c>
      <c r="K3" s="8">
        <f>SUM($J$2:J3)</f>
        <v>106906</v>
      </c>
      <c r="L3" s="8">
        <v>58685</v>
      </c>
      <c r="M3" s="8">
        <v>787</v>
      </c>
      <c r="N3" s="8">
        <v>786</v>
      </c>
      <c r="O3" s="8">
        <v>878555</v>
      </c>
    </row>
    <row r="4" spans="1:18" x14ac:dyDescent="0.3">
      <c r="A4" s="5" t="s">
        <v>155</v>
      </c>
      <c r="B4" s="5" t="s">
        <v>90</v>
      </c>
      <c r="C4" s="5" t="s">
        <v>31</v>
      </c>
      <c r="D4" s="5" t="s">
        <v>48</v>
      </c>
      <c r="E4" s="7" t="s">
        <v>18</v>
      </c>
      <c r="F4" s="7" t="s">
        <v>23</v>
      </c>
      <c r="G4" s="7" t="s">
        <v>26</v>
      </c>
      <c r="H4" s="8">
        <v>54665</v>
      </c>
      <c r="I4" s="8">
        <v>2545</v>
      </c>
      <c r="J4" s="8">
        <v>53453</v>
      </c>
      <c r="K4" s="8">
        <f>SUM($J$2:J4)</f>
        <v>160359</v>
      </c>
      <c r="L4" s="8">
        <v>58685</v>
      </c>
      <c r="M4" s="8">
        <v>787</v>
      </c>
      <c r="N4" s="8">
        <v>786</v>
      </c>
      <c r="O4" s="8">
        <v>878555</v>
      </c>
    </row>
    <row r="5" spans="1:18" x14ac:dyDescent="0.3">
      <c r="A5" s="5" t="s">
        <v>156</v>
      </c>
      <c r="B5" s="5" t="s">
        <v>92</v>
      </c>
      <c r="C5" s="5" t="s">
        <v>31</v>
      </c>
      <c r="D5" s="5" t="s">
        <v>73</v>
      </c>
      <c r="E5" s="7" t="s">
        <v>19</v>
      </c>
      <c r="F5" s="7" t="s">
        <v>24</v>
      </c>
      <c r="G5" s="7" t="s">
        <v>26</v>
      </c>
      <c r="H5" s="8">
        <v>54665</v>
      </c>
      <c r="I5" s="8">
        <v>2545</v>
      </c>
      <c r="J5" s="8">
        <v>53453</v>
      </c>
      <c r="K5" s="8">
        <f>SUM($J$2:J5)</f>
        <v>213812</v>
      </c>
      <c r="L5" s="8">
        <v>58685</v>
      </c>
      <c r="M5" s="8">
        <v>787</v>
      </c>
      <c r="N5" s="8">
        <v>786</v>
      </c>
      <c r="O5" s="8">
        <v>878555</v>
      </c>
    </row>
    <row r="6" spans="1:18" x14ac:dyDescent="0.3">
      <c r="A6" s="5" t="s">
        <v>157</v>
      </c>
      <c r="B6" s="5" t="s">
        <v>92</v>
      </c>
      <c r="C6" s="5" t="s">
        <v>33</v>
      </c>
      <c r="D6" s="5" t="s">
        <v>78</v>
      </c>
      <c r="E6" s="7" t="s">
        <v>20</v>
      </c>
      <c r="F6" s="7" t="s">
        <v>25</v>
      </c>
      <c r="G6" s="7" t="s">
        <v>26</v>
      </c>
      <c r="H6" s="8">
        <v>54665</v>
      </c>
      <c r="I6" s="8">
        <v>2545</v>
      </c>
      <c r="J6" s="8">
        <v>53453</v>
      </c>
      <c r="K6" s="8">
        <f>SUM($J$2:J6)</f>
        <v>267265</v>
      </c>
      <c r="L6" s="8">
        <v>58685</v>
      </c>
      <c r="M6" s="8">
        <v>787</v>
      </c>
      <c r="N6" s="8">
        <v>786</v>
      </c>
      <c r="O6" s="8">
        <v>878555</v>
      </c>
    </row>
    <row r="7" spans="1:18" x14ac:dyDescent="0.3">
      <c r="A7" s="5" t="s">
        <v>158</v>
      </c>
      <c r="B7" s="9" t="s">
        <v>90</v>
      </c>
      <c r="C7" s="9" t="s">
        <v>34</v>
      </c>
      <c r="D7" s="5" t="s">
        <v>45</v>
      </c>
      <c r="E7" s="7" t="s">
        <v>94</v>
      </c>
      <c r="F7" s="7" t="s">
        <v>96</v>
      </c>
      <c r="G7" s="7" t="s">
        <v>26</v>
      </c>
      <c r="H7" s="8">
        <v>54665</v>
      </c>
      <c r="I7" s="8">
        <v>2545</v>
      </c>
      <c r="J7" s="8">
        <v>53453</v>
      </c>
      <c r="K7" s="8">
        <f>SUM($J$2:J7)</f>
        <v>320718</v>
      </c>
      <c r="L7" s="8">
        <v>58685</v>
      </c>
      <c r="M7" s="8">
        <v>787</v>
      </c>
      <c r="N7" s="8">
        <v>786</v>
      </c>
      <c r="O7" s="8">
        <v>878555</v>
      </c>
    </row>
    <row r="8" spans="1:18" x14ac:dyDescent="0.3">
      <c r="A8" s="5" t="s">
        <v>159</v>
      </c>
      <c r="B8" s="9" t="s">
        <v>91</v>
      </c>
      <c r="C8" s="9" t="s">
        <v>40</v>
      </c>
      <c r="D8" s="5" t="s">
        <v>66</v>
      </c>
      <c r="E8" s="7" t="s">
        <v>95</v>
      </c>
      <c r="F8" s="7" t="s">
        <v>97</v>
      </c>
      <c r="G8" s="7" t="s">
        <v>26</v>
      </c>
      <c r="H8" s="8">
        <v>54665</v>
      </c>
      <c r="I8" s="8">
        <v>2545</v>
      </c>
      <c r="J8" s="8">
        <v>53453</v>
      </c>
      <c r="K8" s="8">
        <f>SUM($J$2:J8)</f>
        <v>374171</v>
      </c>
      <c r="L8" s="8">
        <v>58685</v>
      </c>
      <c r="M8" s="8">
        <v>787</v>
      </c>
      <c r="N8" s="8">
        <v>786</v>
      </c>
      <c r="O8" s="8">
        <v>878555</v>
      </c>
    </row>
    <row r="9" spans="1:18" x14ac:dyDescent="0.3">
      <c r="A9" s="5" t="s">
        <v>160</v>
      </c>
      <c r="B9" s="9" t="s">
        <v>91</v>
      </c>
      <c r="C9" s="9" t="s">
        <v>35</v>
      </c>
      <c r="D9" s="5" t="s">
        <v>57</v>
      </c>
      <c r="E9" s="7" t="s">
        <v>113</v>
      </c>
      <c r="F9" s="7" t="s">
        <v>117</v>
      </c>
      <c r="G9" s="7" t="s">
        <v>26</v>
      </c>
      <c r="H9" s="8">
        <v>54665</v>
      </c>
      <c r="I9" s="8">
        <v>2545</v>
      </c>
      <c r="J9" s="8">
        <v>53453</v>
      </c>
      <c r="K9" s="8">
        <f>SUM($J$2:J9)</f>
        <v>427624</v>
      </c>
      <c r="L9" s="8">
        <v>58685</v>
      </c>
      <c r="M9" s="8">
        <v>787</v>
      </c>
      <c r="N9" s="8">
        <v>786</v>
      </c>
      <c r="O9" s="8">
        <v>878555</v>
      </c>
    </row>
    <row r="10" spans="1:18" x14ac:dyDescent="0.3">
      <c r="A10" s="5" t="s">
        <v>161</v>
      </c>
      <c r="B10" s="9" t="s">
        <v>92</v>
      </c>
      <c r="C10" s="9" t="s">
        <v>35</v>
      </c>
      <c r="D10" s="5" t="s">
        <v>77</v>
      </c>
      <c r="E10" s="7" t="s">
        <v>114</v>
      </c>
      <c r="F10" s="7" t="s">
        <v>118</v>
      </c>
      <c r="G10" s="7" t="s">
        <v>26</v>
      </c>
      <c r="H10" s="8">
        <v>54665</v>
      </c>
      <c r="I10" s="8">
        <v>2545</v>
      </c>
      <c r="J10" s="8">
        <v>53453</v>
      </c>
      <c r="K10" s="8">
        <f>SUM($J$2:J10)</f>
        <v>481077</v>
      </c>
      <c r="L10" s="8">
        <v>58685</v>
      </c>
      <c r="M10" s="8">
        <v>787</v>
      </c>
      <c r="N10" s="8">
        <v>786</v>
      </c>
      <c r="O10" s="8">
        <v>878555</v>
      </c>
    </row>
    <row r="11" spans="1:18" x14ac:dyDescent="0.3">
      <c r="A11" s="5" t="s">
        <v>162</v>
      </c>
      <c r="B11" s="9" t="s">
        <v>92</v>
      </c>
      <c r="C11" s="9" t="s">
        <v>36</v>
      </c>
      <c r="D11" s="5" t="s">
        <v>78</v>
      </c>
      <c r="E11" s="7" t="s">
        <v>115</v>
      </c>
      <c r="F11" s="7" t="s">
        <v>119</v>
      </c>
      <c r="G11" s="7" t="s">
        <v>26</v>
      </c>
      <c r="H11" s="8">
        <v>54665</v>
      </c>
      <c r="I11" s="8">
        <v>2545</v>
      </c>
      <c r="J11" s="8">
        <v>53453</v>
      </c>
      <c r="K11" s="8">
        <f>SUM($J$2:J11)</f>
        <v>534530</v>
      </c>
      <c r="L11" s="8">
        <v>58685</v>
      </c>
      <c r="M11" s="8">
        <v>787</v>
      </c>
      <c r="N11" s="8">
        <v>786</v>
      </c>
      <c r="O11" s="8">
        <v>878555</v>
      </c>
    </row>
    <row r="12" spans="1:18" x14ac:dyDescent="0.3">
      <c r="A12" s="5" t="s">
        <v>163</v>
      </c>
      <c r="B12" s="9" t="s">
        <v>92</v>
      </c>
      <c r="C12" s="9" t="s">
        <v>40</v>
      </c>
      <c r="D12" s="5" t="s">
        <v>77</v>
      </c>
      <c r="E12" s="7" t="s">
        <v>116</v>
      </c>
      <c r="F12" s="7" t="s">
        <v>120</v>
      </c>
      <c r="G12" s="7" t="s">
        <v>26</v>
      </c>
      <c r="H12" s="8">
        <v>54665</v>
      </c>
      <c r="I12" s="8">
        <v>2545</v>
      </c>
      <c r="J12" s="8">
        <v>53453</v>
      </c>
      <c r="K12" s="8">
        <f>SUM($J$2:J12)</f>
        <v>587983</v>
      </c>
      <c r="L12" s="8">
        <v>58685</v>
      </c>
      <c r="M12" s="8">
        <v>787</v>
      </c>
      <c r="N12" s="8">
        <v>786</v>
      </c>
      <c r="O12" s="8">
        <v>878555</v>
      </c>
    </row>
    <row r="13" spans="1:18" x14ac:dyDescent="0.3">
      <c r="A13" s="5" t="s">
        <v>164</v>
      </c>
      <c r="B13" s="9" t="s">
        <v>92</v>
      </c>
      <c r="C13" s="9" t="s">
        <v>29</v>
      </c>
      <c r="D13" s="9" t="s">
        <v>47</v>
      </c>
      <c r="E13" s="7" t="s">
        <v>125</v>
      </c>
      <c r="F13" s="7" t="s">
        <v>126</v>
      </c>
      <c r="G13" s="7" t="s">
        <v>26</v>
      </c>
      <c r="H13" s="8">
        <v>54665</v>
      </c>
      <c r="I13" s="8">
        <v>2545</v>
      </c>
      <c r="J13" s="8">
        <v>53453</v>
      </c>
      <c r="K13" s="8">
        <f>SUM($J$2:J13)</f>
        <v>641436</v>
      </c>
      <c r="L13" s="8">
        <v>58685</v>
      </c>
      <c r="M13" s="8">
        <v>787</v>
      </c>
      <c r="N13" s="8">
        <v>786</v>
      </c>
      <c r="O13" s="8">
        <v>878555</v>
      </c>
    </row>
    <row r="14" spans="1:18" x14ac:dyDescent="0.3">
      <c r="A14" s="5" t="s">
        <v>167</v>
      </c>
      <c r="B14" s="9" t="s">
        <v>92</v>
      </c>
      <c r="C14" s="9" t="s">
        <v>31</v>
      </c>
      <c r="D14" s="9" t="s">
        <v>47</v>
      </c>
      <c r="E14" s="7" t="s">
        <v>165</v>
      </c>
      <c r="F14" s="7" t="s">
        <v>166</v>
      </c>
      <c r="G14" s="7" t="s">
        <v>26</v>
      </c>
      <c r="H14" s="8">
        <v>54665</v>
      </c>
      <c r="I14" s="8">
        <v>2545</v>
      </c>
      <c r="J14" s="8">
        <v>53453</v>
      </c>
      <c r="K14" s="8">
        <f>SUM($J$2:J14)</f>
        <v>694889</v>
      </c>
      <c r="L14" s="8">
        <v>58685</v>
      </c>
      <c r="M14" s="8">
        <v>787</v>
      </c>
      <c r="N14" s="8">
        <v>786</v>
      </c>
      <c r="O14" s="8">
        <v>878555</v>
      </c>
    </row>
    <row r="15" spans="1:18" x14ac:dyDescent="0.3">
      <c r="A15" s="5" t="s">
        <v>168</v>
      </c>
      <c r="B15" s="9" t="s">
        <v>92</v>
      </c>
      <c r="C15" s="9" t="s">
        <v>31</v>
      </c>
      <c r="D15" s="9" t="s">
        <v>47</v>
      </c>
      <c r="E15" s="7" t="s">
        <v>165</v>
      </c>
      <c r="F15" s="7" t="s">
        <v>166</v>
      </c>
      <c r="G15" s="7" t="s">
        <v>26</v>
      </c>
      <c r="H15" s="10">
        <v>54665</v>
      </c>
      <c r="I15" s="11">
        <v>2545</v>
      </c>
      <c r="J15" s="8">
        <v>53453</v>
      </c>
      <c r="K15" s="8">
        <v>694889</v>
      </c>
      <c r="L15" s="8">
        <v>58685</v>
      </c>
      <c r="M15" s="8">
        <v>787</v>
      </c>
      <c r="N15" s="8">
        <v>786</v>
      </c>
      <c r="O15" s="8">
        <v>878555</v>
      </c>
    </row>
    <row r="16" spans="1:18" x14ac:dyDescent="0.3">
      <c r="B16" s="9" t="s">
        <v>92</v>
      </c>
      <c r="C16" s="9" t="s">
        <v>36</v>
      </c>
      <c r="D16" s="9" t="s">
        <v>52</v>
      </c>
    </row>
  </sheetData>
  <phoneticPr fontId="1" type="noConversion"/>
  <dataValidations count="3">
    <dataValidation type="list" allowBlank="1" showInputMessage="1" showErrorMessage="1" promptTitle="Road" sqref="C2:C1048576" xr:uid="{FF97D157-80B4-470F-991C-50CBF5C3DF18}">
      <formula1>Roads</formula1>
    </dataValidation>
    <dataValidation type="list" allowBlank="1" showInputMessage="1" showErrorMessage="1" promptTitle="Road" sqref="D13:D1048576" xr:uid="{AC76193F-3324-423E-9301-ACCDFE3B1E86}">
      <formula1>INDIRECT($B$2)</formula1>
    </dataValidation>
    <dataValidation type="list" allowBlank="1" showInputMessage="1" showErrorMessage="1" promptTitle="Road" sqref="D2:D12" xr:uid="{F279FAD7-E61A-424E-9A3C-F180C336439F}">
      <formula1>INDIRECT($B2)</formula1>
    </dataValidation>
  </dataValidations>
  <pageMargins left="0.7" right="0.7" top="0.75" bottom="0.75" header="0.3" footer="0.3"/>
  <ignoredErrors>
    <ignoredError sqref="K3" formulaRange="1"/>
  </ignoredErrors>
  <extLst>
    <ext xmlns:x14="http://schemas.microsoft.com/office/spreadsheetml/2009/9/main" uri="{CCE6A557-97BC-4b89-ADB6-D9C93CAAB3DF}">
      <x14:dataValidations xmlns:xm="http://schemas.microsoft.com/office/excel/2006/main" count="1">
        <x14:dataValidation type="list" allowBlank="1" showInputMessage="1" showErrorMessage="1" xr:uid="{4BA54ADA-12B4-4206-A449-94E56CD3D957}">
          <x14:formula1>
            <xm:f>Lists!$A$1:$C$1</xm:f>
          </x14:formula1>
          <xm:sqref>B2:B1048576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4739B-AD0B-4FA3-90CD-F017B5B3DD78}">
  <sheetPr codeName="Sheet3"/>
  <dimension ref="A1:D17"/>
  <sheetViews>
    <sheetView workbookViewId="0">
      <selection activeCell="A18" sqref="A18"/>
    </sheetView>
  </sheetViews>
  <sheetFormatPr defaultRowHeight="14.4" x14ac:dyDescent="0.3"/>
  <cols>
    <col min="1" max="1" width="34.109375" customWidth="1"/>
    <col min="2" max="2" width="25.33203125" customWidth="1"/>
    <col min="3" max="3" width="22.77734375" customWidth="1"/>
    <col min="4" max="4" width="24.5546875" customWidth="1"/>
  </cols>
  <sheetData>
    <row r="1" spans="1:4" ht="32.4" customHeight="1" thickBot="1" x14ac:dyDescent="0.35">
      <c r="A1" s="149" t="s">
        <v>124</v>
      </c>
      <c r="B1" s="149"/>
      <c r="C1" s="149"/>
      <c r="D1" s="149"/>
    </row>
    <row r="2" spans="1:4" ht="15" thickBot="1" x14ac:dyDescent="0.35">
      <c r="A2" s="50" t="s">
        <v>27</v>
      </c>
      <c r="B2" s="50" t="s">
        <v>90</v>
      </c>
      <c r="C2" s="50" t="s">
        <v>91</v>
      </c>
      <c r="D2" s="50" t="s">
        <v>92</v>
      </c>
    </row>
    <row r="3" spans="1:4" ht="15" thickBot="1" x14ac:dyDescent="0.35">
      <c r="A3" s="150"/>
      <c r="B3" s="151"/>
      <c r="C3" s="151"/>
      <c r="D3" s="152"/>
    </row>
    <row r="4" spans="1:4" ht="19.95" customHeight="1" thickBot="1" x14ac:dyDescent="0.35">
      <c r="A4" s="53" t="s">
        <v>29</v>
      </c>
      <c r="B4" s="54">
        <v>500</v>
      </c>
      <c r="C4" s="54">
        <v>700</v>
      </c>
      <c r="D4" s="54">
        <v>400</v>
      </c>
    </row>
    <row r="5" spans="1:4" ht="19.95" customHeight="1" thickBot="1" x14ac:dyDescent="0.35">
      <c r="A5" s="51" t="s">
        <v>30</v>
      </c>
      <c r="B5" s="52">
        <v>500</v>
      </c>
      <c r="C5" s="52">
        <v>600</v>
      </c>
      <c r="D5" s="52">
        <v>600</v>
      </c>
    </row>
    <row r="6" spans="1:4" ht="19.95" customHeight="1" thickBot="1" x14ac:dyDescent="0.35">
      <c r="A6" s="53" t="s">
        <v>31</v>
      </c>
      <c r="B6" s="54">
        <v>500</v>
      </c>
      <c r="C6" s="54">
        <v>600</v>
      </c>
      <c r="D6" s="54">
        <v>700</v>
      </c>
    </row>
    <row r="7" spans="1:4" ht="19.95" customHeight="1" thickBot="1" x14ac:dyDescent="0.35">
      <c r="A7" s="51" t="s">
        <v>32</v>
      </c>
      <c r="B7" s="52">
        <v>400</v>
      </c>
      <c r="C7" s="52">
        <v>600</v>
      </c>
      <c r="D7" s="52">
        <v>700</v>
      </c>
    </row>
    <row r="8" spans="1:4" ht="19.95" customHeight="1" thickBot="1" x14ac:dyDescent="0.35">
      <c r="A8" s="53" t="s">
        <v>33</v>
      </c>
      <c r="B8" s="54">
        <v>500</v>
      </c>
      <c r="C8" s="54">
        <v>600</v>
      </c>
      <c r="D8" s="54">
        <v>700</v>
      </c>
    </row>
    <row r="9" spans="1:4" ht="19.95" customHeight="1" thickBot="1" x14ac:dyDescent="0.35">
      <c r="A9" s="51" t="s">
        <v>34</v>
      </c>
      <c r="B9" s="52">
        <v>500</v>
      </c>
      <c r="C9" s="52">
        <v>600</v>
      </c>
      <c r="D9" s="52">
        <v>700</v>
      </c>
    </row>
    <row r="10" spans="1:4" ht="19.95" customHeight="1" thickBot="1" x14ac:dyDescent="0.35">
      <c r="A10" s="53" t="s">
        <v>35</v>
      </c>
      <c r="B10" s="54">
        <v>500</v>
      </c>
      <c r="C10" s="54">
        <v>600</v>
      </c>
      <c r="D10" s="54">
        <v>700</v>
      </c>
    </row>
    <row r="11" spans="1:4" ht="19.95" customHeight="1" thickBot="1" x14ac:dyDescent="0.35">
      <c r="A11" s="51" t="s">
        <v>36</v>
      </c>
      <c r="B11" s="52">
        <v>500</v>
      </c>
      <c r="C11" s="52">
        <v>600</v>
      </c>
      <c r="D11" s="52">
        <v>700</v>
      </c>
    </row>
    <row r="12" spans="1:4" ht="19.95" customHeight="1" thickBot="1" x14ac:dyDescent="0.35">
      <c r="A12" s="53" t="s">
        <v>37</v>
      </c>
      <c r="B12" s="54">
        <v>500</v>
      </c>
      <c r="C12" s="54">
        <v>600</v>
      </c>
      <c r="D12" s="54">
        <v>700</v>
      </c>
    </row>
    <row r="13" spans="1:4" ht="19.95" customHeight="1" thickBot="1" x14ac:dyDescent="0.35">
      <c r="A13" s="51" t="s">
        <v>38</v>
      </c>
      <c r="B13" s="52">
        <v>500</v>
      </c>
      <c r="C13" s="52">
        <v>600</v>
      </c>
      <c r="D13" s="52">
        <v>700</v>
      </c>
    </row>
    <row r="14" spans="1:4" ht="19.95" customHeight="1" thickBot="1" x14ac:dyDescent="0.35">
      <c r="A14" s="53" t="s">
        <v>39</v>
      </c>
      <c r="B14" s="54">
        <v>500</v>
      </c>
      <c r="C14" s="54">
        <v>600</v>
      </c>
      <c r="D14" s="54">
        <v>700</v>
      </c>
    </row>
    <row r="15" spans="1:4" ht="19.95" customHeight="1" thickBot="1" x14ac:dyDescent="0.35">
      <c r="A15" s="51" t="s">
        <v>40</v>
      </c>
      <c r="B15" s="52">
        <v>500</v>
      </c>
      <c r="C15" s="52">
        <v>600</v>
      </c>
      <c r="D15" s="52">
        <v>700</v>
      </c>
    </row>
    <row r="16" spans="1:4" ht="19.95" customHeight="1" thickBot="1" x14ac:dyDescent="0.35">
      <c r="A16" s="53" t="s">
        <v>41</v>
      </c>
      <c r="B16" s="54">
        <v>500</v>
      </c>
      <c r="C16" s="54">
        <v>600</v>
      </c>
      <c r="D16" s="54">
        <v>700</v>
      </c>
    </row>
    <row r="17" spans="1:4" ht="19.95" customHeight="1" thickBot="1" x14ac:dyDescent="0.35">
      <c r="A17" s="51" t="s">
        <v>42</v>
      </c>
      <c r="B17" s="52">
        <v>500</v>
      </c>
      <c r="C17" s="52">
        <v>600</v>
      </c>
      <c r="D17" s="52">
        <v>700</v>
      </c>
    </row>
  </sheetData>
  <mergeCells count="2">
    <mergeCell ref="A1:D1"/>
    <mergeCell ref="A3:D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E1AF0-E60B-4886-BF27-5D0220029363}">
  <sheetPr codeName="Sheet4"/>
  <dimension ref="A1:P21"/>
  <sheetViews>
    <sheetView workbookViewId="0">
      <selection activeCell="J22" sqref="J22"/>
    </sheetView>
  </sheetViews>
  <sheetFormatPr defaultRowHeight="14.4" x14ac:dyDescent="0.3"/>
  <cols>
    <col min="1" max="1" width="37" customWidth="1"/>
    <col min="2" max="2" width="45.6640625" customWidth="1"/>
    <col min="3" max="3" width="58.109375" customWidth="1"/>
    <col min="4" max="4" width="36.109375" customWidth="1"/>
    <col min="5" max="5" width="2.33203125" customWidth="1"/>
    <col min="6" max="6" width="23.88671875" customWidth="1"/>
    <col min="7" max="7" width="3" customWidth="1"/>
    <col min="8" max="8" width="33.21875" customWidth="1"/>
    <col min="9" max="9" width="26.5546875" customWidth="1"/>
    <col min="10" max="10" width="32.5546875" customWidth="1"/>
    <col min="11" max="11" width="28.5546875" customWidth="1"/>
    <col min="12" max="12" width="3.109375" customWidth="1"/>
    <col min="15" max="15" width="23.77734375" style="49" customWidth="1"/>
    <col min="16" max="16" width="30.6640625" customWidth="1"/>
  </cols>
  <sheetData>
    <row r="1" spans="1:16" s="4" customFormat="1" ht="31.2" customHeight="1" x14ac:dyDescent="0.3">
      <c r="A1" s="19" t="s">
        <v>90</v>
      </c>
      <c r="B1" s="19" t="s">
        <v>91</v>
      </c>
      <c r="C1" s="19" t="s">
        <v>92</v>
      </c>
      <c r="D1" s="19" t="s">
        <v>89</v>
      </c>
      <c r="E1" s="46"/>
      <c r="G1" s="46"/>
      <c r="H1" s="153" t="s">
        <v>124</v>
      </c>
      <c r="I1" s="153"/>
      <c r="J1" s="153"/>
      <c r="K1" s="153"/>
      <c r="L1" s="46"/>
      <c r="O1" s="19"/>
    </row>
    <row r="2" spans="1:16" x14ac:dyDescent="0.3">
      <c r="A2" t="s">
        <v>43</v>
      </c>
      <c r="B2" t="s">
        <v>54</v>
      </c>
      <c r="C2" t="s">
        <v>71</v>
      </c>
      <c r="D2" t="s">
        <v>29</v>
      </c>
      <c r="E2" s="45"/>
      <c r="G2" s="45"/>
      <c r="H2" s="19" t="s">
        <v>27</v>
      </c>
      <c r="I2" s="19" t="s">
        <v>90</v>
      </c>
      <c r="J2" s="19" t="s">
        <v>91</v>
      </c>
      <c r="K2" s="19" t="s">
        <v>92</v>
      </c>
      <c r="L2" s="45"/>
    </row>
    <row r="3" spans="1:16" x14ac:dyDescent="0.3">
      <c r="A3" t="s">
        <v>44</v>
      </c>
      <c r="B3" t="s">
        <v>55</v>
      </c>
      <c r="C3" t="s">
        <v>72</v>
      </c>
      <c r="D3" t="s">
        <v>30</v>
      </c>
      <c r="E3" s="45"/>
      <c r="G3" s="45"/>
      <c r="H3" s="19"/>
      <c r="I3" s="19"/>
      <c r="J3" s="19"/>
      <c r="K3" s="19"/>
      <c r="L3" s="45"/>
    </row>
    <row r="4" spans="1:16" x14ac:dyDescent="0.3">
      <c r="A4" t="s">
        <v>45</v>
      </c>
      <c r="B4" t="s">
        <v>56</v>
      </c>
      <c r="C4" t="s">
        <v>73</v>
      </c>
      <c r="D4" t="s">
        <v>31</v>
      </c>
      <c r="E4" s="45"/>
      <c r="G4" s="45"/>
      <c r="H4" t="s">
        <v>29</v>
      </c>
      <c r="I4" s="3">
        <f>Changes!B4</f>
        <v>500</v>
      </c>
      <c r="J4" s="3">
        <f>Changes!C4</f>
        <v>700</v>
      </c>
      <c r="K4" s="3">
        <f>Changes!D4</f>
        <v>400</v>
      </c>
      <c r="L4" s="45"/>
    </row>
    <row r="5" spans="1:16" x14ac:dyDescent="0.3">
      <c r="A5" t="s">
        <v>46</v>
      </c>
      <c r="B5" t="s">
        <v>57</v>
      </c>
      <c r="C5" t="s">
        <v>74</v>
      </c>
      <c r="D5" t="s">
        <v>32</v>
      </c>
      <c r="E5" s="45"/>
      <c r="G5" s="45"/>
      <c r="H5" t="s">
        <v>30</v>
      </c>
      <c r="I5" s="3">
        <f>Changes!B5</f>
        <v>500</v>
      </c>
      <c r="J5" s="3">
        <f>Changes!C5</f>
        <v>600</v>
      </c>
      <c r="K5" s="3">
        <f>Changes!D5</f>
        <v>600</v>
      </c>
      <c r="L5" s="45"/>
    </row>
    <row r="6" spans="1:16" x14ac:dyDescent="0.3">
      <c r="A6" t="s">
        <v>47</v>
      </c>
      <c r="B6" t="s">
        <v>58</v>
      </c>
      <c r="C6" t="s">
        <v>75</v>
      </c>
      <c r="D6" t="s">
        <v>33</v>
      </c>
      <c r="E6" s="45"/>
      <c r="G6" s="45"/>
      <c r="H6" t="s">
        <v>31</v>
      </c>
      <c r="I6" s="3">
        <f>Changes!B6</f>
        <v>500</v>
      </c>
      <c r="J6" s="3">
        <f>Changes!C6</f>
        <v>600</v>
      </c>
      <c r="K6" s="3">
        <f>Changes!D6</f>
        <v>700</v>
      </c>
      <c r="L6" s="45"/>
      <c r="O6" s="19" t="s">
        <v>92</v>
      </c>
      <c r="P6" t="s">
        <v>148</v>
      </c>
    </row>
    <row r="7" spans="1:16" x14ac:dyDescent="0.3">
      <c r="A7" t="s">
        <v>48</v>
      </c>
      <c r="B7" t="s">
        <v>59</v>
      </c>
      <c r="C7" t="s">
        <v>76</v>
      </c>
      <c r="D7" t="s">
        <v>34</v>
      </c>
      <c r="E7" s="45"/>
      <c r="G7" s="45"/>
      <c r="H7" t="s">
        <v>32</v>
      </c>
      <c r="I7" s="3">
        <f>Changes!B7</f>
        <v>400</v>
      </c>
      <c r="J7" s="3">
        <f>Changes!C7</f>
        <v>600</v>
      </c>
      <c r="K7" s="3">
        <f>Changes!D7</f>
        <v>700</v>
      </c>
      <c r="L7" s="45"/>
      <c r="O7" s="19" t="s">
        <v>91</v>
      </c>
      <c r="P7" t="s">
        <v>152</v>
      </c>
    </row>
    <row r="8" spans="1:16" x14ac:dyDescent="0.3">
      <c r="A8" t="s">
        <v>49</v>
      </c>
      <c r="B8" t="s">
        <v>60</v>
      </c>
      <c r="C8" t="s">
        <v>77</v>
      </c>
      <c r="D8" t="s">
        <v>35</v>
      </c>
      <c r="E8" s="47"/>
      <c r="G8" s="45"/>
      <c r="H8" t="s">
        <v>33</v>
      </c>
      <c r="I8" s="3">
        <f>Changes!B8</f>
        <v>500</v>
      </c>
      <c r="J8" s="3">
        <f>Changes!C8</f>
        <v>600</v>
      </c>
      <c r="K8" s="3">
        <f>Changes!D8</f>
        <v>700</v>
      </c>
      <c r="L8" s="45"/>
      <c r="O8" s="19" t="s">
        <v>90</v>
      </c>
      <c r="P8" t="s">
        <v>153</v>
      </c>
    </row>
    <row r="9" spans="1:16" x14ac:dyDescent="0.3">
      <c r="A9" t="s">
        <v>50</v>
      </c>
      <c r="B9" t="s">
        <v>61</v>
      </c>
      <c r="C9" t="s">
        <v>78</v>
      </c>
      <c r="D9" t="s">
        <v>36</v>
      </c>
      <c r="E9" s="47"/>
      <c r="G9" s="45"/>
      <c r="H9" t="s">
        <v>34</v>
      </c>
      <c r="I9" s="3">
        <f>Changes!B9</f>
        <v>500</v>
      </c>
      <c r="J9" s="3">
        <f>Changes!C9</f>
        <v>600</v>
      </c>
      <c r="K9" s="3">
        <f>Changes!D9</f>
        <v>700</v>
      </c>
      <c r="L9" s="45"/>
    </row>
    <row r="10" spans="1:16" x14ac:dyDescent="0.3">
      <c r="A10" t="s">
        <v>51</v>
      </c>
      <c r="B10" t="s">
        <v>62</v>
      </c>
      <c r="C10" t="s">
        <v>79</v>
      </c>
      <c r="D10" t="s">
        <v>37</v>
      </c>
      <c r="E10" s="47"/>
      <c r="G10" s="45"/>
      <c r="H10" t="s">
        <v>35</v>
      </c>
      <c r="I10" s="3">
        <f>Changes!B10</f>
        <v>500</v>
      </c>
      <c r="J10" s="3">
        <f>Changes!C10</f>
        <v>600</v>
      </c>
      <c r="K10" s="3">
        <f>Changes!D10</f>
        <v>700</v>
      </c>
      <c r="L10" s="45"/>
    </row>
    <row r="11" spans="1:16" x14ac:dyDescent="0.3">
      <c r="A11" t="s">
        <v>52</v>
      </c>
      <c r="B11" t="s">
        <v>63</v>
      </c>
      <c r="C11" t="s">
        <v>80</v>
      </c>
      <c r="D11" t="s">
        <v>38</v>
      </c>
      <c r="E11" s="45"/>
      <c r="G11" s="45"/>
      <c r="H11" t="s">
        <v>36</v>
      </c>
      <c r="I11" s="3">
        <f>Changes!B11</f>
        <v>500</v>
      </c>
      <c r="J11" s="3">
        <f>Changes!C11</f>
        <v>600</v>
      </c>
      <c r="K11" s="3">
        <f>Changes!D11</f>
        <v>700</v>
      </c>
      <c r="L11" s="45"/>
    </row>
    <row r="12" spans="1:16" x14ac:dyDescent="0.3">
      <c r="A12" t="s">
        <v>53</v>
      </c>
      <c r="B12" t="s">
        <v>64</v>
      </c>
      <c r="C12" t="s">
        <v>81</v>
      </c>
      <c r="D12" t="s">
        <v>39</v>
      </c>
      <c r="E12" s="45"/>
      <c r="G12" s="45"/>
      <c r="H12" t="s">
        <v>37</v>
      </c>
      <c r="I12" s="3">
        <f>Changes!B12</f>
        <v>500</v>
      </c>
      <c r="J12" s="3">
        <f>Changes!C12</f>
        <v>600</v>
      </c>
      <c r="K12" s="3">
        <f>Changes!D12</f>
        <v>700</v>
      </c>
      <c r="L12" s="45"/>
    </row>
    <row r="13" spans="1:16" x14ac:dyDescent="0.3">
      <c r="B13" t="s">
        <v>65</v>
      </c>
      <c r="C13" t="s">
        <v>82</v>
      </c>
      <c r="D13" t="s">
        <v>40</v>
      </c>
      <c r="E13" s="45"/>
      <c r="G13" s="45"/>
      <c r="H13" t="s">
        <v>38</v>
      </c>
      <c r="I13" s="3">
        <f>Changes!B13</f>
        <v>500</v>
      </c>
      <c r="J13" s="3">
        <f>Changes!C13</f>
        <v>600</v>
      </c>
      <c r="K13" s="3">
        <f>Changes!D13</f>
        <v>700</v>
      </c>
      <c r="L13" s="45"/>
    </row>
    <row r="14" spans="1:16" x14ac:dyDescent="0.3">
      <c r="B14" t="s">
        <v>66</v>
      </c>
      <c r="C14" t="s">
        <v>83</v>
      </c>
      <c r="D14" t="s">
        <v>41</v>
      </c>
      <c r="E14" s="45"/>
      <c r="G14" s="45"/>
      <c r="H14" t="s">
        <v>39</v>
      </c>
      <c r="I14" s="3">
        <f>Changes!B14</f>
        <v>500</v>
      </c>
      <c r="J14" s="3">
        <f>Changes!C14</f>
        <v>600</v>
      </c>
      <c r="K14" s="3">
        <f>Changes!D14</f>
        <v>700</v>
      </c>
      <c r="L14" s="45"/>
    </row>
    <row r="15" spans="1:16" x14ac:dyDescent="0.3">
      <c r="B15" t="s">
        <v>67</v>
      </c>
      <c r="C15" t="s">
        <v>84</v>
      </c>
      <c r="D15" t="s">
        <v>42</v>
      </c>
      <c r="E15" s="45"/>
      <c r="G15" s="45"/>
      <c r="H15" t="s">
        <v>40</v>
      </c>
      <c r="I15" s="3">
        <f>Changes!B15</f>
        <v>500</v>
      </c>
      <c r="J15" s="3">
        <f>Changes!C15</f>
        <v>600</v>
      </c>
      <c r="K15" s="3">
        <f>Changes!D15</f>
        <v>700</v>
      </c>
      <c r="L15" s="45"/>
    </row>
    <row r="16" spans="1:16" x14ac:dyDescent="0.3">
      <c r="B16" t="s">
        <v>68</v>
      </c>
      <c r="C16" t="s">
        <v>85</v>
      </c>
      <c r="E16" s="45"/>
      <c r="G16" s="45"/>
      <c r="H16" t="s">
        <v>41</v>
      </c>
      <c r="I16" s="3">
        <f>Changes!B16</f>
        <v>500</v>
      </c>
      <c r="J16" s="3">
        <f>Changes!C16</f>
        <v>600</v>
      </c>
      <c r="K16" s="3">
        <f>Changes!D16</f>
        <v>700</v>
      </c>
      <c r="L16" s="45"/>
    </row>
    <row r="17" spans="1:12" x14ac:dyDescent="0.3">
      <c r="B17" t="s">
        <v>69</v>
      </c>
      <c r="C17" t="s">
        <v>86</v>
      </c>
      <c r="E17" s="45"/>
      <c r="G17" s="45"/>
      <c r="H17" t="s">
        <v>42</v>
      </c>
      <c r="I17" s="3">
        <f>Changes!B17</f>
        <v>500</v>
      </c>
      <c r="J17" s="3">
        <f>Changes!C17</f>
        <v>600</v>
      </c>
      <c r="K17" s="3">
        <f>Changes!D17</f>
        <v>700</v>
      </c>
      <c r="L17" s="45"/>
    </row>
    <row r="18" spans="1:12" x14ac:dyDescent="0.3">
      <c r="B18" t="s">
        <v>70</v>
      </c>
      <c r="C18" t="s">
        <v>87</v>
      </c>
      <c r="E18" s="45"/>
      <c r="G18" s="45"/>
      <c r="L18" s="45"/>
    </row>
    <row r="19" spans="1:12" x14ac:dyDescent="0.3">
      <c r="C19" t="s">
        <v>88</v>
      </c>
      <c r="E19" s="45"/>
      <c r="G19" s="45"/>
      <c r="H19" s="45"/>
      <c r="I19" s="45"/>
      <c r="J19" s="45"/>
      <c r="K19" s="45"/>
      <c r="L19" s="45"/>
    </row>
    <row r="20" spans="1:12" x14ac:dyDescent="0.3">
      <c r="A20" s="45"/>
      <c r="B20" s="45"/>
      <c r="C20" s="45"/>
      <c r="D20" s="45"/>
      <c r="E20" s="45"/>
    </row>
    <row r="21" spans="1:12" x14ac:dyDescent="0.3">
      <c r="B21" t="s">
        <v>93</v>
      </c>
    </row>
  </sheetData>
  <mergeCells count="1">
    <mergeCell ref="H1:K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F0FB8-B6BE-4CB2-B254-FD292D58304C}">
  <sheetPr codeName="Sheet6">
    <pageSetUpPr fitToPage="1"/>
  </sheetPr>
  <dimension ref="A1:S26"/>
  <sheetViews>
    <sheetView topLeftCell="A7" zoomScale="88" zoomScaleNormal="88" workbookViewId="0">
      <selection activeCell="D32" sqref="D32"/>
    </sheetView>
  </sheetViews>
  <sheetFormatPr defaultRowHeight="14.4" x14ac:dyDescent="0.3"/>
  <cols>
    <col min="1" max="1" width="31" customWidth="1"/>
    <col min="2" max="2" width="10.6640625" bestFit="1" customWidth="1"/>
    <col min="3" max="3" width="20.88671875" bestFit="1" customWidth="1"/>
    <col min="4" max="4" width="31.6640625" bestFit="1" customWidth="1"/>
    <col min="5" max="5" width="58.5546875" bestFit="1" customWidth="1"/>
    <col min="6" max="6" width="12" bestFit="1" customWidth="1"/>
    <col min="7" max="7" width="21.33203125" bestFit="1" customWidth="1"/>
    <col min="8" max="8" width="14.21875" bestFit="1" customWidth="1"/>
    <col min="9" max="9" width="12" bestFit="1" customWidth="1"/>
    <col min="10" max="10" width="11.5546875" bestFit="1" customWidth="1"/>
    <col min="11" max="11" width="15.88671875" customWidth="1"/>
    <col min="12" max="12" width="16.6640625" bestFit="1" customWidth="1"/>
    <col min="13" max="13" width="16.109375" customWidth="1"/>
    <col min="14" max="14" width="16.33203125" customWidth="1"/>
    <col min="15" max="15" width="16.21875" customWidth="1"/>
    <col min="16" max="16" width="14" customWidth="1"/>
    <col min="17" max="17" width="14.88671875" customWidth="1"/>
    <col min="18" max="18" width="13.77734375" customWidth="1"/>
    <col min="19" max="19" width="14.33203125" customWidth="1"/>
    <col min="22" max="22" width="13.5546875" customWidth="1"/>
    <col min="24" max="24" width="12.88671875" customWidth="1"/>
    <col min="25" max="25" width="15.33203125" customWidth="1"/>
  </cols>
  <sheetData>
    <row r="1" spans="1:19" s="22" customFormat="1" ht="30" customHeight="1" x14ac:dyDescent="0.5">
      <c r="A1" s="34" t="s">
        <v>121</v>
      </c>
      <c r="B1" s="154" t="s">
        <v>98</v>
      </c>
      <c r="C1" s="154"/>
      <c r="D1" s="154"/>
      <c r="E1" s="154"/>
      <c r="F1" s="154"/>
      <c r="G1" s="154"/>
      <c r="H1" s="154"/>
      <c r="I1" s="154"/>
      <c r="J1" s="154"/>
      <c r="K1" s="154"/>
      <c r="L1" s="154"/>
      <c r="M1" s="154"/>
      <c r="N1" s="154"/>
      <c r="O1" s="154"/>
      <c r="P1" s="154"/>
      <c r="Q1" s="154"/>
      <c r="R1" s="154"/>
      <c r="S1" s="154"/>
    </row>
    <row r="2" spans="1:19" s="22" customFormat="1" ht="30" customHeight="1" x14ac:dyDescent="0.4">
      <c r="A2" s="35" t="s">
        <v>91</v>
      </c>
      <c r="B2" s="155" t="s">
        <v>99</v>
      </c>
      <c r="C2" s="155"/>
      <c r="D2" s="155"/>
      <c r="E2" s="155"/>
      <c r="F2" s="155"/>
      <c r="G2" s="155"/>
      <c r="H2" s="155"/>
      <c r="I2" s="155"/>
      <c r="J2" s="155"/>
      <c r="K2" s="155"/>
      <c r="L2" s="155"/>
      <c r="M2" s="155"/>
      <c r="N2" s="155"/>
      <c r="O2" s="155"/>
      <c r="P2" s="155"/>
      <c r="Q2" s="155"/>
      <c r="R2" s="155"/>
      <c r="S2" s="155"/>
    </row>
    <row r="3" spans="1:19" s="22" customFormat="1" ht="30" customHeight="1" x14ac:dyDescent="0.3">
      <c r="A3" s="34" t="s">
        <v>122</v>
      </c>
    </row>
    <row r="4" spans="1:19" ht="30" customHeight="1" x14ac:dyDescent="0.3">
      <c r="A4" s="35"/>
      <c r="B4" s="156" t="s">
        <v>100</v>
      </c>
      <c r="C4" s="157"/>
      <c r="D4" s="28"/>
      <c r="E4" s="29"/>
      <c r="F4" s="29"/>
      <c r="G4" s="29"/>
      <c r="H4" s="29"/>
      <c r="I4" s="30"/>
      <c r="J4" s="158" t="s">
        <v>101</v>
      </c>
      <c r="K4" s="159"/>
      <c r="L4" s="160"/>
      <c r="M4" s="160"/>
      <c r="N4" s="157"/>
      <c r="O4" s="161" t="s">
        <v>102</v>
      </c>
      <c r="P4" s="162"/>
      <c r="Q4" s="21" t="s">
        <v>103</v>
      </c>
      <c r="R4" s="165"/>
      <c r="S4" s="166"/>
    </row>
    <row r="5" spans="1:19" ht="28.2" customHeight="1" x14ac:dyDescent="0.3">
      <c r="A5" s="36" t="s">
        <v>123</v>
      </c>
      <c r="B5" s="20" t="s">
        <v>111</v>
      </c>
      <c r="C5" s="23" t="s">
        <v>112</v>
      </c>
      <c r="D5" s="25"/>
      <c r="E5" s="26"/>
      <c r="F5" s="26"/>
      <c r="G5" s="26"/>
      <c r="H5" s="26"/>
      <c r="I5" s="27"/>
      <c r="J5" s="161" t="s">
        <v>104</v>
      </c>
      <c r="K5" s="162"/>
      <c r="L5" s="167"/>
      <c r="M5" s="168"/>
      <c r="N5" s="169"/>
      <c r="O5" s="163"/>
      <c r="P5" s="164"/>
      <c r="Q5" s="24" t="s">
        <v>105</v>
      </c>
      <c r="R5" s="165"/>
      <c r="S5" s="166"/>
    </row>
    <row r="6" spans="1:19" ht="28.8" customHeight="1" x14ac:dyDescent="0.3">
      <c r="A6" s="31"/>
      <c r="B6" s="170" t="s">
        <v>106</v>
      </c>
      <c r="C6" s="157"/>
      <c r="D6" s="28"/>
      <c r="E6" s="29"/>
      <c r="F6" s="29"/>
      <c r="G6" s="29"/>
      <c r="H6" s="29"/>
      <c r="I6" s="30"/>
      <c r="J6" s="158" t="s">
        <v>107</v>
      </c>
      <c r="K6" s="159"/>
      <c r="L6" s="165"/>
      <c r="M6" s="171"/>
      <c r="N6" s="166"/>
      <c r="O6" s="170" t="s">
        <v>108</v>
      </c>
      <c r="P6" s="157"/>
      <c r="Q6" s="165"/>
      <c r="R6" s="171"/>
      <c r="S6" s="166"/>
    </row>
    <row r="7" spans="1:19" ht="28.8" customHeight="1" x14ac:dyDescent="0.3">
      <c r="A7" s="36"/>
      <c r="B7" s="170" t="s">
        <v>109</v>
      </c>
      <c r="C7" s="157"/>
      <c r="D7" s="28"/>
      <c r="E7" s="29"/>
      <c r="F7" s="29"/>
      <c r="G7" s="29"/>
      <c r="H7" s="29"/>
      <c r="I7" s="30"/>
      <c r="J7" s="170" t="s">
        <v>110</v>
      </c>
      <c r="K7" s="157"/>
      <c r="L7" s="165"/>
      <c r="M7" s="171"/>
      <c r="N7" s="171"/>
      <c r="O7" s="171"/>
      <c r="P7" s="171"/>
      <c r="Q7" s="171"/>
      <c r="R7" s="171"/>
      <c r="S7" s="166"/>
    </row>
    <row r="8" spans="1:19" x14ac:dyDescent="0.3">
      <c r="A8" s="31"/>
      <c r="B8" s="37"/>
    </row>
    <row r="9" spans="1:19" x14ac:dyDescent="0.3">
      <c r="A9" s="31"/>
      <c r="B9" s="2"/>
    </row>
    <row r="10" spans="1:19" ht="15" thickBot="1" x14ac:dyDescent="0.35">
      <c r="A10" s="31"/>
      <c r="B10" s="2"/>
    </row>
    <row r="11" spans="1:19" s="39" customFormat="1" ht="76.8" customHeight="1" thickBot="1" x14ac:dyDescent="0.35">
      <c r="A11" s="38"/>
      <c r="B11" s="42" t="s">
        <v>0</v>
      </c>
      <c r="C11" s="14" t="s">
        <v>28</v>
      </c>
      <c r="D11" s="14" t="s">
        <v>27</v>
      </c>
      <c r="E11" s="14" t="s">
        <v>15</v>
      </c>
      <c r="F11" s="14" t="s">
        <v>1</v>
      </c>
      <c r="G11" s="14" t="s">
        <v>2</v>
      </c>
      <c r="H11" s="14" t="s">
        <v>14</v>
      </c>
      <c r="I11" s="44" t="s">
        <v>3</v>
      </c>
      <c r="J11" s="44" t="s">
        <v>4</v>
      </c>
      <c r="K11" s="44" t="s">
        <v>5</v>
      </c>
      <c r="L11" s="44" t="s">
        <v>6</v>
      </c>
      <c r="M11" s="17" t="s">
        <v>7</v>
      </c>
      <c r="N11" s="17" t="s">
        <v>8</v>
      </c>
      <c r="O11" s="17" t="s">
        <v>9</v>
      </c>
      <c r="P11" s="17" t="s">
        <v>10</v>
      </c>
      <c r="Q11" s="17" t="s">
        <v>11</v>
      </c>
      <c r="R11" s="17" t="s">
        <v>12</v>
      </c>
      <c r="S11" s="18" t="s">
        <v>13</v>
      </c>
    </row>
    <row r="12" spans="1:19" x14ac:dyDescent="0.3">
      <c r="B12" s="43"/>
      <c r="I12" s="41"/>
      <c r="J12" s="41"/>
      <c r="K12" s="41"/>
      <c r="L12" s="41"/>
      <c r="M12" s="3"/>
      <c r="N12" s="3"/>
      <c r="O12" s="3"/>
      <c r="P12" s="3"/>
      <c r="Q12" s="3"/>
      <c r="R12" s="3"/>
      <c r="S12" s="3"/>
    </row>
    <row r="13" spans="1:19" x14ac:dyDescent="0.3">
      <c r="B13" s="40" t="s">
        <v>154</v>
      </c>
      <c r="C13" t="s">
        <v>90</v>
      </c>
      <c r="D13" t="s">
        <v>30</v>
      </c>
      <c r="E13" t="s">
        <v>56</v>
      </c>
      <c r="F13" t="s">
        <v>16</v>
      </c>
      <c r="G13" t="s">
        <v>21</v>
      </c>
      <c r="H13" t="s">
        <v>26</v>
      </c>
      <c r="I13" s="41">
        <v>54665</v>
      </c>
      <c r="J13" s="41">
        <v>2545</v>
      </c>
      <c r="K13" s="41">
        <v>53453</v>
      </c>
      <c r="L13" s="41">
        <f>K13</f>
        <v>53453</v>
      </c>
    </row>
    <row r="14" spans="1:19" x14ac:dyDescent="0.3">
      <c r="B14" s="40" t="s">
        <v>155</v>
      </c>
      <c r="C14" t="s">
        <v>90</v>
      </c>
      <c r="D14" t="s">
        <v>33</v>
      </c>
      <c r="E14" t="s">
        <v>48</v>
      </c>
      <c r="F14" t="s">
        <v>17</v>
      </c>
      <c r="G14" t="s">
        <v>22</v>
      </c>
      <c r="H14" t="s">
        <v>26</v>
      </c>
      <c r="I14" s="41">
        <v>54665</v>
      </c>
      <c r="J14" s="41">
        <v>2545</v>
      </c>
      <c r="K14" s="41">
        <v>53453</v>
      </c>
      <c r="L14" s="41">
        <f t="shared" ref="L14:L26" si="0">L13+K14</f>
        <v>106906</v>
      </c>
    </row>
    <row r="15" spans="1:19" x14ac:dyDescent="0.3">
      <c r="B15" s="40" t="s">
        <v>155</v>
      </c>
      <c r="C15" t="s">
        <v>90</v>
      </c>
      <c r="D15" t="s">
        <v>31</v>
      </c>
      <c r="E15" t="s">
        <v>48</v>
      </c>
      <c r="F15" t="s">
        <v>18</v>
      </c>
      <c r="G15" t="s">
        <v>23</v>
      </c>
      <c r="H15" t="s">
        <v>26</v>
      </c>
      <c r="I15" s="41">
        <v>54665</v>
      </c>
      <c r="J15" s="41">
        <v>2545</v>
      </c>
      <c r="K15" s="41">
        <v>53453</v>
      </c>
      <c r="L15" s="41">
        <f t="shared" si="0"/>
        <v>160359</v>
      </c>
    </row>
    <row r="16" spans="1:19" x14ac:dyDescent="0.3">
      <c r="B16" s="40" t="s">
        <v>156</v>
      </c>
      <c r="C16" t="s">
        <v>92</v>
      </c>
      <c r="D16" t="s">
        <v>31</v>
      </c>
      <c r="E16" t="s">
        <v>73</v>
      </c>
      <c r="F16" t="s">
        <v>19</v>
      </c>
      <c r="G16" t="s">
        <v>24</v>
      </c>
      <c r="H16" t="s">
        <v>26</v>
      </c>
      <c r="I16" s="41">
        <v>54665</v>
      </c>
      <c r="J16" s="41">
        <v>2545</v>
      </c>
      <c r="K16" s="41">
        <v>53453</v>
      </c>
      <c r="L16" s="41">
        <f t="shared" si="0"/>
        <v>213812</v>
      </c>
    </row>
    <row r="17" spans="2:12" x14ac:dyDescent="0.3">
      <c r="B17" s="40" t="s">
        <v>157</v>
      </c>
      <c r="C17" t="s">
        <v>92</v>
      </c>
      <c r="D17" t="s">
        <v>33</v>
      </c>
      <c r="E17" t="s">
        <v>78</v>
      </c>
      <c r="F17" t="s">
        <v>20</v>
      </c>
      <c r="G17" t="s">
        <v>25</v>
      </c>
      <c r="H17" t="s">
        <v>26</v>
      </c>
      <c r="I17" s="41">
        <v>54665</v>
      </c>
      <c r="J17" s="41">
        <v>2545</v>
      </c>
      <c r="K17" s="41">
        <v>53453</v>
      </c>
      <c r="L17" s="41">
        <f t="shared" si="0"/>
        <v>267265</v>
      </c>
    </row>
    <row r="18" spans="2:12" x14ac:dyDescent="0.3">
      <c r="B18" s="40" t="s">
        <v>158</v>
      </c>
      <c r="C18" t="s">
        <v>90</v>
      </c>
      <c r="D18" t="s">
        <v>34</v>
      </c>
      <c r="E18" t="s">
        <v>45</v>
      </c>
      <c r="F18" t="s">
        <v>94</v>
      </c>
      <c r="G18" t="s">
        <v>96</v>
      </c>
      <c r="H18" t="s">
        <v>26</v>
      </c>
      <c r="I18" s="41">
        <v>54665</v>
      </c>
      <c r="J18" s="41">
        <v>2545</v>
      </c>
      <c r="K18" s="41">
        <v>53453</v>
      </c>
      <c r="L18" s="41">
        <f t="shared" si="0"/>
        <v>320718</v>
      </c>
    </row>
    <row r="19" spans="2:12" x14ac:dyDescent="0.3">
      <c r="B19" s="40" t="s">
        <v>159</v>
      </c>
      <c r="C19" t="s">
        <v>91</v>
      </c>
      <c r="D19" t="s">
        <v>40</v>
      </c>
      <c r="E19" t="s">
        <v>66</v>
      </c>
      <c r="F19" t="s">
        <v>95</v>
      </c>
      <c r="G19" t="s">
        <v>97</v>
      </c>
      <c r="H19" t="s">
        <v>26</v>
      </c>
      <c r="I19" s="41">
        <v>54665</v>
      </c>
      <c r="J19" s="41">
        <v>2545</v>
      </c>
      <c r="K19" s="41">
        <v>53453</v>
      </c>
      <c r="L19" s="41">
        <f t="shared" si="0"/>
        <v>374171</v>
      </c>
    </row>
    <row r="20" spans="2:12" x14ac:dyDescent="0.3">
      <c r="B20" s="40" t="s">
        <v>160</v>
      </c>
      <c r="C20" t="s">
        <v>91</v>
      </c>
      <c r="D20" t="s">
        <v>35</v>
      </c>
      <c r="E20" t="s">
        <v>57</v>
      </c>
      <c r="F20" t="s">
        <v>113</v>
      </c>
      <c r="G20" t="s">
        <v>117</v>
      </c>
      <c r="H20" t="s">
        <v>26</v>
      </c>
      <c r="I20" s="41">
        <v>54665</v>
      </c>
      <c r="J20" s="41">
        <v>2545</v>
      </c>
      <c r="K20" s="41">
        <v>53453</v>
      </c>
      <c r="L20" s="41">
        <f t="shared" si="0"/>
        <v>427624</v>
      </c>
    </row>
    <row r="21" spans="2:12" x14ac:dyDescent="0.3">
      <c r="B21" s="40" t="s">
        <v>161</v>
      </c>
      <c r="C21" t="s">
        <v>92</v>
      </c>
      <c r="D21" t="s">
        <v>35</v>
      </c>
      <c r="E21" t="s">
        <v>77</v>
      </c>
      <c r="F21" t="s">
        <v>114</v>
      </c>
      <c r="G21" t="s">
        <v>118</v>
      </c>
      <c r="H21" t="s">
        <v>26</v>
      </c>
      <c r="I21" s="41">
        <v>54665</v>
      </c>
      <c r="J21" s="41">
        <v>2545</v>
      </c>
      <c r="K21" s="41">
        <v>53453</v>
      </c>
      <c r="L21" s="41">
        <f t="shared" si="0"/>
        <v>481077</v>
      </c>
    </row>
    <row r="22" spans="2:12" x14ac:dyDescent="0.3">
      <c r="B22" s="40" t="s">
        <v>162</v>
      </c>
      <c r="C22" t="s">
        <v>92</v>
      </c>
      <c r="D22" t="s">
        <v>36</v>
      </c>
      <c r="E22" t="s">
        <v>78</v>
      </c>
      <c r="F22" t="s">
        <v>115</v>
      </c>
      <c r="G22" t="s">
        <v>119</v>
      </c>
      <c r="H22" t="s">
        <v>26</v>
      </c>
      <c r="I22" s="41">
        <v>54665</v>
      </c>
      <c r="J22" s="41">
        <v>2545</v>
      </c>
      <c r="K22" s="41">
        <v>53453</v>
      </c>
      <c r="L22" s="41">
        <f t="shared" si="0"/>
        <v>534530</v>
      </c>
    </row>
    <row r="23" spans="2:12" x14ac:dyDescent="0.3">
      <c r="B23" s="40" t="s">
        <v>163</v>
      </c>
      <c r="C23" t="s">
        <v>92</v>
      </c>
      <c r="D23" t="s">
        <v>40</v>
      </c>
      <c r="E23" t="s">
        <v>77</v>
      </c>
      <c r="F23" t="s">
        <v>116</v>
      </c>
      <c r="G23" t="s">
        <v>120</v>
      </c>
      <c r="H23" t="s">
        <v>26</v>
      </c>
      <c r="I23" s="41">
        <v>54665</v>
      </c>
      <c r="J23" s="41">
        <v>2545</v>
      </c>
      <c r="K23" s="41">
        <v>53453</v>
      </c>
      <c r="L23" s="41">
        <f t="shared" si="0"/>
        <v>587983</v>
      </c>
    </row>
    <row r="24" spans="2:12" x14ac:dyDescent="0.3">
      <c r="B24" s="40" t="s">
        <v>164</v>
      </c>
      <c r="C24" t="s">
        <v>92</v>
      </c>
      <c r="D24" t="s">
        <v>29</v>
      </c>
      <c r="E24" t="s">
        <v>47</v>
      </c>
      <c r="F24" t="s">
        <v>125</v>
      </c>
      <c r="G24" t="s">
        <v>126</v>
      </c>
      <c r="H24" t="s">
        <v>26</v>
      </c>
      <c r="I24" s="41">
        <v>54665</v>
      </c>
      <c r="J24" s="41">
        <v>2545</v>
      </c>
      <c r="K24" s="41">
        <v>53453</v>
      </c>
      <c r="L24" s="41">
        <f t="shared" si="0"/>
        <v>641436</v>
      </c>
    </row>
    <row r="25" spans="2:12" x14ac:dyDescent="0.3">
      <c r="B25" s="40" t="s">
        <v>167</v>
      </c>
      <c r="C25" t="s">
        <v>92</v>
      </c>
      <c r="D25" t="s">
        <v>31</v>
      </c>
      <c r="E25" t="s">
        <v>47</v>
      </c>
      <c r="F25" t="s">
        <v>165</v>
      </c>
      <c r="G25" t="s">
        <v>166</v>
      </c>
      <c r="H25" t="s">
        <v>26</v>
      </c>
      <c r="I25" s="41">
        <v>54665</v>
      </c>
      <c r="J25" s="41">
        <v>2545</v>
      </c>
      <c r="K25" s="41">
        <v>53453</v>
      </c>
      <c r="L25" s="41">
        <f t="shared" si="0"/>
        <v>694889</v>
      </c>
    </row>
    <row r="26" spans="2:12" x14ac:dyDescent="0.3">
      <c r="B26" s="40" t="s">
        <v>168</v>
      </c>
      <c r="C26" t="s">
        <v>92</v>
      </c>
      <c r="D26" t="s">
        <v>31</v>
      </c>
      <c r="E26" t="s">
        <v>47</v>
      </c>
      <c r="F26" t="s">
        <v>165</v>
      </c>
      <c r="G26" t="s">
        <v>166</v>
      </c>
      <c r="H26" t="s">
        <v>26</v>
      </c>
      <c r="I26" s="41">
        <v>54665</v>
      </c>
      <c r="J26" s="41">
        <v>2545</v>
      </c>
      <c r="K26" s="41">
        <v>53453</v>
      </c>
      <c r="L26" s="41">
        <f t="shared" si="0"/>
        <v>748342</v>
      </c>
    </row>
  </sheetData>
  <mergeCells count="18">
    <mergeCell ref="O6:P6"/>
    <mergeCell ref="Q6:S6"/>
    <mergeCell ref="B7:C7"/>
    <mergeCell ref="J7:K7"/>
    <mergeCell ref="L7:S7"/>
    <mergeCell ref="B6:C6"/>
    <mergeCell ref="J6:K6"/>
    <mergeCell ref="L6:N6"/>
    <mergeCell ref="B1:S1"/>
    <mergeCell ref="B2:S2"/>
    <mergeCell ref="B4:C4"/>
    <mergeCell ref="J4:K4"/>
    <mergeCell ref="L4:N4"/>
    <mergeCell ref="O4:P5"/>
    <mergeCell ref="R4:S4"/>
    <mergeCell ref="J5:K5"/>
    <mergeCell ref="L5:N5"/>
    <mergeCell ref="R5:S5"/>
  </mergeCells>
  <dataValidations count="2">
    <dataValidation type="list" allowBlank="1" showInputMessage="1" showErrorMessage="1" sqref="A6" xr:uid="{F9527098-B349-4DBA-BE33-182ADE7E6A86}">
      <formula1>INDIRECT($A$2)</formula1>
    </dataValidation>
    <dataValidation type="list" allowBlank="1" showInputMessage="1" showErrorMessage="1" sqref="A4" xr:uid="{381EA168-86FF-4AC5-A3BA-BAD6EBE082F1}">
      <formula1>Roads</formula1>
    </dataValidation>
  </dataValidations>
  <pageMargins left="0.7" right="0.7" top="0.75" bottom="0.75" header="0.3" footer="0.3"/>
  <pageSetup paperSize="8" scale="5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ilterAndCopy">
                <anchor moveWithCells="1">
                  <from>
                    <xdr:col>0</xdr:col>
                    <xdr:colOff>297180</xdr:colOff>
                    <xdr:row>12</xdr:row>
                    <xdr:rowOff>121920</xdr:rowOff>
                  </from>
                  <to>
                    <xdr:col>0</xdr:col>
                    <xdr:colOff>1577340</xdr:colOff>
                    <xdr:row>15</xdr:row>
                    <xdr:rowOff>144780</xdr:rowOff>
                  </to>
                </anchor>
              </controlPr>
            </control>
          </mc:Choice>
        </mc:AlternateContent>
        <mc:AlternateContent xmlns:mc="http://schemas.openxmlformats.org/markup-compatibility/2006">
          <mc:Choice Requires="x14">
            <control shapeId="1034" r:id="rId5" name="Button 10">
              <controlPr defaultSize="0" print="0" autoFill="0" autoPict="0" macro="[0]!B10_Click">
                <anchor moveWithCells="1">
                  <from>
                    <xdr:col>0</xdr:col>
                    <xdr:colOff>289560</xdr:colOff>
                    <xdr:row>15</xdr:row>
                    <xdr:rowOff>144780</xdr:rowOff>
                  </from>
                  <to>
                    <xdr:col>0</xdr:col>
                    <xdr:colOff>1569720</xdr:colOff>
                    <xdr:row>19</xdr:row>
                    <xdr:rowOff>99060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DA1629F-4988-40C9-882D-23F64BB6466B}">
          <x14:formula1>
            <xm:f>Lists!$A$1:$C$1</xm:f>
          </x14:formula1>
          <xm:sqref>A2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778AB-6DF2-45FB-9A29-884A38E523FD}">
  <sheetPr codeName="Sheet7"/>
  <dimension ref="A1:S14"/>
  <sheetViews>
    <sheetView zoomScale="70" zoomScaleNormal="70" workbookViewId="0">
      <selection activeCell="E19" sqref="E19"/>
    </sheetView>
  </sheetViews>
  <sheetFormatPr defaultRowHeight="14.4" x14ac:dyDescent="0.3"/>
  <cols>
    <col min="1" max="1" width="31" style="31" customWidth="1"/>
    <col min="2" max="2" width="25.21875" style="33" customWidth="1"/>
    <col min="3" max="3" width="21.21875" customWidth="1"/>
    <col min="4" max="4" width="20.77734375" customWidth="1"/>
    <col min="5" max="5" width="19.44140625" customWidth="1"/>
    <col min="6" max="6" width="15.5546875" customWidth="1"/>
    <col min="7" max="7" width="21.6640625" customWidth="1"/>
    <col min="8" max="8" width="15.44140625" customWidth="1"/>
    <col min="9" max="9" width="13.44140625" style="3" customWidth="1"/>
    <col min="10" max="10" width="14" style="3" customWidth="1"/>
    <col min="11" max="12" width="15.88671875" style="3" customWidth="1"/>
    <col min="13" max="13" width="16.109375" style="3" customWidth="1"/>
    <col min="14" max="14" width="16.33203125" style="3" customWidth="1"/>
    <col min="15" max="15" width="16.21875" style="3" customWidth="1"/>
    <col min="16" max="16" width="14" style="3" customWidth="1"/>
    <col min="17" max="17" width="14.88671875" style="3" customWidth="1"/>
    <col min="18" max="18" width="13.77734375" style="3" customWidth="1"/>
    <col min="19" max="19" width="14.33203125" style="3" customWidth="1"/>
    <col min="22" max="22" width="13.5546875" customWidth="1"/>
    <col min="24" max="24" width="12.88671875" customWidth="1"/>
    <col min="25" max="25" width="15.33203125" customWidth="1"/>
  </cols>
  <sheetData>
    <row r="1" spans="1:19" s="22" customFormat="1" ht="30" customHeight="1" x14ac:dyDescent="0.5">
      <c r="A1" s="34" t="s">
        <v>121</v>
      </c>
      <c r="B1" s="154" t="s">
        <v>98</v>
      </c>
      <c r="C1" s="154"/>
      <c r="D1" s="154"/>
      <c r="E1" s="154"/>
      <c r="F1" s="154"/>
      <c r="G1" s="154"/>
      <c r="H1" s="154"/>
      <c r="I1" s="154"/>
      <c r="J1" s="154"/>
      <c r="K1" s="154"/>
      <c r="L1" s="154"/>
      <c r="M1" s="154"/>
      <c r="N1" s="154"/>
      <c r="O1" s="154"/>
      <c r="P1" s="154"/>
      <c r="Q1" s="154"/>
      <c r="R1" s="154"/>
      <c r="S1" s="154"/>
    </row>
    <row r="2" spans="1:19" s="22" customFormat="1" ht="30" customHeight="1" x14ac:dyDescent="0.4">
      <c r="A2" s="35" t="s">
        <v>91</v>
      </c>
      <c r="B2" s="155" t="s">
        <v>99</v>
      </c>
      <c r="C2" s="155"/>
      <c r="D2" s="155"/>
      <c r="E2" s="155"/>
      <c r="F2" s="155"/>
      <c r="G2" s="155"/>
      <c r="H2" s="155"/>
      <c r="I2" s="155"/>
      <c r="J2" s="155"/>
      <c r="K2" s="155"/>
      <c r="L2" s="155"/>
      <c r="M2" s="155"/>
      <c r="N2" s="155"/>
      <c r="O2" s="155"/>
      <c r="P2" s="155"/>
      <c r="Q2" s="155"/>
      <c r="R2" s="155"/>
      <c r="S2" s="155"/>
    </row>
    <row r="3" spans="1:19" s="22" customFormat="1" ht="30" customHeight="1" x14ac:dyDescent="0.3">
      <c r="A3" s="34" t="s">
        <v>122</v>
      </c>
    </row>
    <row r="4" spans="1:19" ht="30" customHeight="1" x14ac:dyDescent="0.3">
      <c r="A4" s="35"/>
      <c r="B4" s="156" t="s">
        <v>100</v>
      </c>
      <c r="C4" s="157"/>
      <c r="D4" s="28"/>
      <c r="E4" s="29"/>
      <c r="F4" s="29"/>
      <c r="G4" s="29"/>
      <c r="H4" s="29"/>
      <c r="I4" s="30"/>
      <c r="J4" s="158" t="s">
        <v>101</v>
      </c>
      <c r="K4" s="159"/>
      <c r="L4" s="160"/>
      <c r="M4" s="160"/>
      <c r="N4" s="157"/>
      <c r="O4" s="161" t="s">
        <v>102</v>
      </c>
      <c r="P4" s="162"/>
      <c r="Q4" s="21" t="s">
        <v>103</v>
      </c>
      <c r="R4" s="165"/>
      <c r="S4" s="166"/>
    </row>
    <row r="5" spans="1:19" ht="28.2" customHeight="1" x14ac:dyDescent="0.3">
      <c r="A5" s="36" t="s">
        <v>123</v>
      </c>
      <c r="B5" s="20" t="s">
        <v>111</v>
      </c>
      <c r="C5" s="23" t="s">
        <v>112</v>
      </c>
      <c r="D5" s="25"/>
      <c r="E5" s="26"/>
      <c r="F5" s="26"/>
      <c r="G5" s="26"/>
      <c r="H5" s="26"/>
      <c r="I5" s="27"/>
      <c r="J5" s="161" t="s">
        <v>104</v>
      </c>
      <c r="K5" s="162"/>
      <c r="L5" s="167"/>
      <c r="M5" s="168"/>
      <c r="N5" s="169"/>
      <c r="O5" s="163"/>
      <c r="P5" s="164"/>
      <c r="Q5" s="24" t="s">
        <v>105</v>
      </c>
      <c r="R5" s="165"/>
      <c r="S5" s="166"/>
    </row>
    <row r="6" spans="1:19" ht="28.8" customHeight="1" x14ac:dyDescent="0.3">
      <c r="B6" s="170" t="s">
        <v>106</v>
      </c>
      <c r="C6" s="157"/>
      <c r="D6" s="28"/>
      <c r="E6" s="29"/>
      <c r="F6" s="29"/>
      <c r="G6" s="29"/>
      <c r="H6" s="29"/>
      <c r="I6" s="30"/>
      <c r="J6" s="158" t="s">
        <v>107</v>
      </c>
      <c r="K6" s="159"/>
      <c r="L6" s="165"/>
      <c r="M6" s="171"/>
      <c r="N6" s="166"/>
      <c r="O6" s="170" t="s">
        <v>108</v>
      </c>
      <c r="P6" s="157"/>
      <c r="Q6" s="165"/>
      <c r="R6" s="171"/>
      <c r="S6" s="166"/>
    </row>
    <row r="7" spans="1:19" ht="28.8" customHeight="1" x14ac:dyDescent="0.3">
      <c r="A7" s="36"/>
      <c r="B7" s="170" t="s">
        <v>109</v>
      </c>
      <c r="C7" s="157"/>
      <c r="D7" s="28"/>
      <c r="E7" s="29"/>
      <c r="F7" s="29"/>
      <c r="G7" s="29"/>
      <c r="H7" s="29"/>
      <c r="I7" s="30"/>
      <c r="J7" s="170" t="s">
        <v>110</v>
      </c>
      <c r="K7" s="157"/>
      <c r="L7" s="165"/>
      <c r="M7" s="171"/>
      <c r="N7" s="171"/>
      <c r="O7" s="171"/>
      <c r="P7" s="171"/>
      <c r="Q7" s="171"/>
      <c r="R7" s="171"/>
      <c r="S7" s="166"/>
    </row>
    <row r="8" spans="1:19" x14ac:dyDescent="0.3">
      <c r="B8" s="2"/>
      <c r="I8"/>
      <c r="J8"/>
      <c r="K8"/>
      <c r="L8"/>
      <c r="M8"/>
      <c r="N8"/>
      <c r="O8"/>
      <c r="P8"/>
      <c r="Q8"/>
      <c r="R8"/>
      <c r="S8"/>
    </row>
    <row r="9" spans="1:19" x14ac:dyDescent="0.3">
      <c r="B9" s="2"/>
      <c r="I9"/>
      <c r="J9"/>
      <c r="K9"/>
      <c r="L9"/>
      <c r="M9"/>
      <c r="N9"/>
      <c r="O9"/>
      <c r="P9"/>
      <c r="Q9"/>
      <c r="R9"/>
      <c r="S9"/>
    </row>
    <row r="10" spans="1:19" ht="15" thickBot="1" x14ac:dyDescent="0.35">
      <c r="B10" s="2"/>
      <c r="I10"/>
      <c r="J10"/>
      <c r="K10"/>
      <c r="L10"/>
      <c r="M10"/>
      <c r="N10"/>
      <c r="O10"/>
      <c r="P10"/>
      <c r="Q10"/>
      <c r="R10"/>
      <c r="S10"/>
    </row>
    <row r="11" spans="1:19" ht="60" customHeight="1" thickBot="1" x14ac:dyDescent="0.35">
      <c r="B11" s="32" t="s">
        <v>0</v>
      </c>
      <c r="C11" s="13" t="s">
        <v>28</v>
      </c>
      <c r="D11" s="13" t="s">
        <v>27</v>
      </c>
      <c r="E11" s="13" t="s">
        <v>15</v>
      </c>
      <c r="F11" s="14" t="s">
        <v>1</v>
      </c>
      <c r="G11" s="14" t="s">
        <v>2</v>
      </c>
      <c r="H11" s="14" t="s">
        <v>14</v>
      </c>
      <c r="I11" s="17" t="s">
        <v>3</v>
      </c>
      <c r="J11" s="17" t="s">
        <v>4</v>
      </c>
      <c r="K11" s="17" t="s">
        <v>5</v>
      </c>
      <c r="L11" s="17" t="s">
        <v>6</v>
      </c>
      <c r="M11" s="17" t="s">
        <v>7</v>
      </c>
      <c r="N11" s="17" t="s">
        <v>8</v>
      </c>
      <c r="O11" s="17" t="s">
        <v>9</v>
      </c>
      <c r="P11" s="17" t="s">
        <v>10</v>
      </c>
      <c r="Q11" s="17" t="s">
        <v>11</v>
      </c>
      <c r="R11" s="17" t="s">
        <v>12</v>
      </c>
      <c r="S11" s="18" t="s">
        <v>13</v>
      </c>
    </row>
    <row r="13" spans="1:19" x14ac:dyDescent="0.3">
      <c r="B13" s="33" t="str" cm="1">
        <f t="array" ref="B13:K14">_xlfn._xlws.FILTER(MainSheet!A:J, (IF(A2 = "", TRUE, MainSheet!B:B = A2)) * (IF(A4 = "", TRUE, MainSheet!C:C = A4)) * (IF(A6 = "", TRUE, MainSheet!D:D = A6)))</f>
        <v>26/11/2024</v>
      </c>
      <c r="C13" t="str">
        <v>Recurrent_Maintenance</v>
      </c>
      <c r="D13" t="str">
        <v>Kurunegala - Narammala - Madampe</v>
      </c>
      <c r="E13" t="str">
        <v>Guard stone replacement</v>
      </c>
      <c r="F13" t="str">
        <v>AD007</v>
      </c>
      <c r="G13" t="str">
        <v>HJK007</v>
      </c>
      <c r="H13" t="str">
        <v>D</v>
      </c>
      <c r="I13" s="3">
        <v>54665</v>
      </c>
      <c r="J13" s="3">
        <v>2545</v>
      </c>
      <c r="K13" s="3">
        <v>53453</v>
      </c>
    </row>
    <row r="14" spans="1:19" x14ac:dyDescent="0.3">
      <c r="B14" s="33" t="str">
        <v>27/11/2024</v>
      </c>
      <c r="C14" t="str">
        <v>Recurrent_Maintenance</v>
      </c>
      <c r="D14" t="str">
        <v>Dandagamuwa - Udawla</v>
      </c>
      <c r="E14" t="str">
        <v>Edge correction</v>
      </c>
      <c r="F14" t="str">
        <v>AD008</v>
      </c>
      <c r="G14" t="str">
        <v>HJK008</v>
      </c>
      <c r="H14" t="str">
        <v>D</v>
      </c>
      <c r="I14" s="3">
        <v>54665</v>
      </c>
      <c r="J14" s="3">
        <v>2545</v>
      </c>
      <c r="K14" s="3">
        <v>53453</v>
      </c>
    </row>
  </sheetData>
  <mergeCells count="18">
    <mergeCell ref="B1:S1"/>
    <mergeCell ref="B2:S2"/>
    <mergeCell ref="B4:C4"/>
    <mergeCell ref="J4:K4"/>
    <mergeCell ref="L4:N4"/>
    <mergeCell ref="O4:P5"/>
    <mergeCell ref="R4:S4"/>
    <mergeCell ref="J5:K5"/>
    <mergeCell ref="L5:N5"/>
    <mergeCell ref="R5:S5"/>
    <mergeCell ref="O6:P6"/>
    <mergeCell ref="Q6:S6"/>
    <mergeCell ref="B7:C7"/>
    <mergeCell ref="J7:K7"/>
    <mergeCell ref="L7:S7"/>
    <mergeCell ref="B6:C6"/>
    <mergeCell ref="J6:K6"/>
    <mergeCell ref="L6:N6"/>
  </mergeCells>
  <dataValidations count="2">
    <dataValidation type="list" allowBlank="1" showInputMessage="1" showErrorMessage="1" sqref="A6" xr:uid="{BD8FE788-04F3-460B-A37B-F62FF0318808}">
      <formula1>INDIRECT($A$2)</formula1>
    </dataValidation>
    <dataValidation type="list" allowBlank="1" showInputMessage="1" showErrorMessage="1" sqref="A4" xr:uid="{9C86F841-17A9-461B-8B5E-5A10E9797E1C}">
      <formula1>Roads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5B480CA-1BBD-4574-8066-35EA937F4AF6}">
          <x14:formula1>
            <xm:f>Lists!$A$1:$C$1</xm:f>
          </x14:formula1>
          <xm:sqref>A2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94EBD-43B7-4743-ABD3-BA3C3FC73101}">
  <sheetPr codeName="Sheet10">
    <pageSetUpPr fitToPage="1"/>
  </sheetPr>
  <dimension ref="A1:R24"/>
  <sheetViews>
    <sheetView zoomScale="74" zoomScaleNormal="74" workbookViewId="0">
      <selection activeCell="T15" sqref="T15"/>
    </sheetView>
  </sheetViews>
  <sheetFormatPr defaultRowHeight="14.4" x14ac:dyDescent="0.3"/>
  <cols>
    <col min="1" max="1" width="5.21875" customWidth="1"/>
    <col min="2" max="2" width="22.33203125" customWidth="1"/>
    <col min="3" max="3" width="18.77734375" customWidth="1"/>
    <col min="4" max="4" width="7.21875" style="48" customWidth="1"/>
    <col min="5" max="5" width="7.33203125" style="48" customWidth="1"/>
    <col min="6" max="6" width="7.21875" customWidth="1"/>
    <col min="7" max="7" width="10" customWidth="1"/>
    <col min="8" max="8" width="12.33203125" customWidth="1"/>
    <col min="9" max="9" width="13" customWidth="1"/>
    <col min="10" max="10" width="15.109375" customWidth="1"/>
    <col min="11" max="11" width="14.77734375" customWidth="1"/>
    <col min="12" max="12" width="15.6640625" customWidth="1"/>
    <col min="13" max="13" width="15.109375" customWidth="1"/>
    <col min="14" max="15" width="16.88671875" customWidth="1"/>
    <col min="16" max="16" width="17" customWidth="1"/>
    <col min="20" max="20" width="20" customWidth="1"/>
  </cols>
  <sheetData>
    <row r="1" spans="1:18" x14ac:dyDescent="0.3">
      <c r="A1" s="55"/>
      <c r="B1" s="56"/>
      <c r="C1" s="192"/>
      <c r="D1" s="192"/>
      <c r="E1" s="192"/>
      <c r="F1" s="192"/>
      <c r="G1" s="192"/>
      <c r="H1" s="192"/>
      <c r="I1" s="192"/>
      <c r="J1" s="192"/>
      <c r="K1" s="193"/>
      <c r="L1" s="192"/>
      <c r="M1" s="192"/>
      <c r="N1" s="192"/>
      <c r="O1" s="192"/>
      <c r="P1" s="192"/>
      <c r="Q1" s="192"/>
      <c r="R1" s="192"/>
    </row>
    <row r="2" spans="1:18" x14ac:dyDescent="0.3">
      <c r="A2" s="192" t="s">
        <v>170</v>
      </c>
      <c r="B2" s="192"/>
      <c r="C2" s="112" t="s">
        <v>169</v>
      </c>
      <c r="D2" s="112"/>
      <c r="E2" s="112"/>
      <c r="F2" s="112"/>
      <c r="G2" s="112"/>
      <c r="H2" s="112"/>
      <c r="I2" s="113"/>
      <c r="J2" s="112"/>
      <c r="K2" s="112"/>
      <c r="L2" s="112"/>
      <c r="M2" s="112"/>
      <c r="N2" s="112"/>
      <c r="O2" s="112"/>
      <c r="P2" s="112"/>
      <c r="Q2" s="59"/>
      <c r="R2" s="56"/>
    </row>
    <row r="3" spans="1:18" x14ac:dyDescent="0.3">
      <c r="A3" s="57"/>
      <c r="B3" s="57"/>
      <c r="C3" s="57"/>
      <c r="D3" s="102"/>
      <c r="E3" s="102"/>
      <c r="F3" s="57"/>
      <c r="G3" s="57"/>
      <c r="H3" s="57"/>
      <c r="I3" s="58"/>
      <c r="J3" s="57"/>
      <c r="K3" s="57"/>
      <c r="L3" s="57"/>
      <c r="M3" s="57"/>
      <c r="N3" s="60"/>
      <c r="O3" s="57"/>
      <c r="P3" s="57"/>
      <c r="Q3" s="59"/>
      <c r="R3" s="56"/>
    </row>
    <row r="4" spans="1:18" x14ac:dyDescent="0.3">
      <c r="A4" s="194" t="s">
        <v>90</v>
      </c>
      <c r="B4" s="194"/>
      <c r="C4" s="194"/>
      <c r="D4" s="194"/>
      <c r="E4" s="194"/>
      <c r="F4" s="194"/>
      <c r="G4" s="194"/>
      <c r="H4" s="194"/>
      <c r="I4" s="195"/>
      <c r="J4" s="194"/>
      <c r="K4" s="194"/>
      <c r="L4" s="194"/>
      <c r="M4" s="194"/>
      <c r="N4" s="194"/>
      <c r="O4" s="194"/>
      <c r="P4" s="194"/>
      <c r="Q4" s="59"/>
      <c r="R4" s="56"/>
    </row>
    <row r="5" spans="1:18" ht="15" thickBot="1" x14ac:dyDescent="0.35">
      <c r="A5" s="196"/>
      <c r="B5" s="196"/>
      <c r="C5" s="61"/>
      <c r="D5" s="103"/>
      <c r="E5" s="103"/>
      <c r="F5" s="62"/>
      <c r="G5" s="62"/>
      <c r="H5" s="55"/>
      <c r="I5" s="63"/>
      <c r="J5" s="64"/>
      <c r="K5" s="65"/>
      <c r="L5" s="66"/>
      <c r="M5" s="66"/>
      <c r="N5" s="65"/>
      <c r="O5" s="66"/>
      <c r="P5" s="56"/>
      <c r="Q5" s="59"/>
      <c r="R5" s="56"/>
    </row>
    <row r="6" spans="1:18" x14ac:dyDescent="0.3">
      <c r="A6" s="197" t="s">
        <v>127</v>
      </c>
      <c r="B6" s="200" t="s">
        <v>128</v>
      </c>
      <c r="C6" s="203" t="s">
        <v>129</v>
      </c>
      <c r="D6" s="204" t="s">
        <v>130</v>
      </c>
      <c r="E6" s="205"/>
      <c r="F6" s="206" t="s">
        <v>131</v>
      </c>
      <c r="G6" s="174" t="s">
        <v>132</v>
      </c>
      <c r="H6" s="174" t="s">
        <v>133</v>
      </c>
      <c r="I6" s="182" t="s">
        <v>134</v>
      </c>
      <c r="J6" s="184" t="s">
        <v>135</v>
      </c>
      <c r="K6" s="176" t="s">
        <v>136</v>
      </c>
      <c r="L6" s="180" t="s">
        <v>137</v>
      </c>
      <c r="M6" s="180" t="s">
        <v>138</v>
      </c>
      <c r="N6" s="176" t="s">
        <v>139</v>
      </c>
      <c r="O6" s="178" t="s">
        <v>140</v>
      </c>
      <c r="P6" s="180" t="s">
        <v>141</v>
      </c>
      <c r="Q6" s="210" t="s">
        <v>142</v>
      </c>
      <c r="R6" s="67"/>
    </row>
    <row r="7" spans="1:18" ht="61.8" customHeight="1" x14ac:dyDescent="0.3">
      <c r="A7" s="198"/>
      <c r="B7" s="201"/>
      <c r="C7" s="203"/>
      <c r="D7" s="212" t="s">
        <v>143</v>
      </c>
      <c r="E7" s="172" t="s">
        <v>144</v>
      </c>
      <c r="F7" s="207"/>
      <c r="G7" s="209"/>
      <c r="H7" s="175"/>
      <c r="I7" s="183"/>
      <c r="J7" s="185"/>
      <c r="K7" s="177"/>
      <c r="L7" s="181"/>
      <c r="M7" s="181"/>
      <c r="N7" s="177"/>
      <c r="O7" s="179"/>
      <c r="P7" s="181"/>
      <c r="Q7" s="211"/>
      <c r="R7" s="67"/>
    </row>
    <row r="8" spans="1:18" x14ac:dyDescent="0.3">
      <c r="A8" s="198"/>
      <c r="B8" s="201"/>
      <c r="C8" s="203"/>
      <c r="D8" s="213"/>
      <c r="E8" s="173"/>
      <c r="F8" s="207"/>
      <c r="G8" s="209"/>
      <c r="H8" s="175"/>
      <c r="I8" s="69">
        <v>1</v>
      </c>
      <c r="J8" s="68">
        <v>2</v>
      </c>
      <c r="K8" s="70">
        <v>3</v>
      </c>
      <c r="L8" s="71">
        <v>4</v>
      </c>
      <c r="M8" s="68">
        <v>5</v>
      </c>
      <c r="N8" s="70">
        <v>6</v>
      </c>
      <c r="O8" s="68">
        <v>7</v>
      </c>
      <c r="P8" s="68">
        <v>8</v>
      </c>
      <c r="Q8" s="211"/>
      <c r="R8" s="67"/>
    </row>
    <row r="9" spans="1:18" x14ac:dyDescent="0.3">
      <c r="A9" s="199"/>
      <c r="B9" s="202"/>
      <c r="C9" s="203"/>
      <c r="D9" s="213"/>
      <c r="E9" s="173"/>
      <c r="F9" s="208"/>
      <c r="G9" s="209"/>
      <c r="H9" s="175"/>
      <c r="I9" s="72" t="s">
        <v>145</v>
      </c>
      <c r="J9" s="73"/>
      <c r="K9" s="70"/>
      <c r="L9" s="74"/>
      <c r="M9" s="68"/>
      <c r="N9" s="70" t="s">
        <v>146</v>
      </c>
      <c r="O9" s="75"/>
      <c r="P9" s="68" t="s">
        <v>147</v>
      </c>
      <c r="Q9" s="211"/>
      <c r="R9" s="67"/>
    </row>
    <row r="10" spans="1:18" ht="30" customHeight="1" x14ac:dyDescent="0.3">
      <c r="A10" s="76">
        <v>1</v>
      </c>
      <c r="B10" s="77" t="s">
        <v>29</v>
      </c>
      <c r="C10" s="186" t="s">
        <v>153</v>
      </c>
      <c r="D10" s="104">
        <v>0</v>
      </c>
      <c r="E10" s="105">
        <v>14.64</v>
      </c>
      <c r="F10" s="79">
        <v>2.89</v>
      </c>
      <c r="G10" s="77"/>
      <c r="H10" s="77" t="s">
        <v>149</v>
      </c>
      <c r="I10" s="189" t="s">
        <v>150</v>
      </c>
      <c r="J10" s="80">
        <v>0</v>
      </c>
      <c r="K10" s="81">
        <v>0</v>
      </c>
      <c r="L10" s="80"/>
      <c r="M10" s="80"/>
      <c r="N10" s="82">
        <f>J10+K10+L10+M10</f>
        <v>0</v>
      </c>
      <c r="O10" s="80">
        <f>200000</f>
        <v>200000</v>
      </c>
      <c r="P10" s="83">
        <f>N10+O10</f>
        <v>200000</v>
      </c>
      <c r="Q10" s="84">
        <v>0.75</v>
      </c>
      <c r="R10" s="85"/>
    </row>
    <row r="11" spans="1:18" ht="30" customHeight="1" x14ac:dyDescent="0.3">
      <c r="A11" s="86">
        <v>2</v>
      </c>
      <c r="B11" s="77" t="s">
        <v>30</v>
      </c>
      <c r="C11" s="187"/>
      <c r="D11" s="104">
        <v>0</v>
      </c>
      <c r="E11" s="105">
        <v>14.63</v>
      </c>
      <c r="F11" s="79">
        <v>2.89</v>
      </c>
      <c r="G11" s="77"/>
      <c r="H11" s="77" t="s">
        <v>149</v>
      </c>
      <c r="I11" s="190"/>
      <c r="J11" s="80">
        <v>53453</v>
      </c>
      <c r="K11" s="81">
        <v>0</v>
      </c>
      <c r="L11" s="87"/>
      <c r="M11" s="80"/>
      <c r="N11" s="82">
        <f t="shared" ref="N11:N24" si="0">J11+K11+L11+M11</f>
        <v>53453</v>
      </c>
      <c r="O11" s="80">
        <f>200000</f>
        <v>200000</v>
      </c>
      <c r="P11" s="83">
        <f t="shared" ref="P11:P24" si="1">N11+O11</f>
        <v>253453</v>
      </c>
      <c r="Q11" s="84">
        <v>0.65</v>
      </c>
      <c r="R11" s="85"/>
    </row>
    <row r="12" spans="1:18" ht="30" customHeight="1" x14ac:dyDescent="0.3">
      <c r="A12" s="76">
        <v>3</v>
      </c>
      <c r="B12" s="77" t="s">
        <v>31</v>
      </c>
      <c r="C12" s="187"/>
      <c r="D12" s="104">
        <v>0</v>
      </c>
      <c r="E12" s="105">
        <v>6.55</v>
      </c>
      <c r="F12" s="79">
        <v>1.3</v>
      </c>
      <c r="G12" s="77"/>
      <c r="H12" s="77" t="s">
        <v>149</v>
      </c>
      <c r="I12" s="190"/>
      <c r="J12" s="80">
        <v>53453</v>
      </c>
      <c r="K12" s="81">
        <v>0</v>
      </c>
      <c r="L12" s="82"/>
      <c r="M12" s="80"/>
      <c r="N12" s="82">
        <f t="shared" si="0"/>
        <v>53453</v>
      </c>
      <c r="O12" s="80">
        <f>873200</f>
        <v>873200</v>
      </c>
      <c r="P12" s="83">
        <f t="shared" si="1"/>
        <v>926653</v>
      </c>
      <c r="Q12" s="88">
        <v>0.7</v>
      </c>
      <c r="R12" s="85"/>
    </row>
    <row r="13" spans="1:18" ht="30" customHeight="1" x14ac:dyDescent="0.3">
      <c r="A13" s="86">
        <v>4</v>
      </c>
      <c r="B13" s="89" t="s">
        <v>32</v>
      </c>
      <c r="C13" s="187"/>
      <c r="D13" s="106">
        <v>13.12</v>
      </c>
      <c r="E13" s="107">
        <v>44.8</v>
      </c>
      <c r="F13" s="79">
        <v>6.22</v>
      </c>
      <c r="G13" s="89"/>
      <c r="H13" s="89" t="s">
        <v>149</v>
      </c>
      <c r="I13" s="190"/>
      <c r="J13" s="87">
        <v>0</v>
      </c>
      <c r="K13" s="82">
        <v>0</v>
      </c>
      <c r="L13" s="82">
        <f>560854</f>
        <v>560854</v>
      </c>
      <c r="M13" s="87"/>
      <c r="N13" s="82">
        <f t="shared" si="0"/>
        <v>560854</v>
      </c>
      <c r="O13" s="87">
        <f>262500</f>
        <v>262500</v>
      </c>
      <c r="P13" s="83">
        <f t="shared" si="1"/>
        <v>823354</v>
      </c>
      <c r="Q13" s="88">
        <v>0.8</v>
      </c>
      <c r="R13" s="90"/>
    </row>
    <row r="14" spans="1:18" ht="30" customHeight="1" x14ac:dyDescent="0.3">
      <c r="A14" s="76">
        <v>5</v>
      </c>
      <c r="B14" s="77" t="s">
        <v>33</v>
      </c>
      <c r="C14" s="187"/>
      <c r="D14" s="104">
        <v>0</v>
      </c>
      <c r="E14" s="105">
        <v>12.94</v>
      </c>
      <c r="F14" s="79">
        <v>1.81</v>
      </c>
      <c r="G14" s="77"/>
      <c r="H14" s="77" t="s">
        <v>149</v>
      </c>
      <c r="I14" s="190"/>
      <c r="J14" s="80">
        <v>53453</v>
      </c>
      <c r="K14" s="81">
        <v>0</v>
      </c>
      <c r="L14" s="87"/>
      <c r="M14" s="80"/>
      <c r="N14" s="82">
        <f t="shared" si="0"/>
        <v>53453</v>
      </c>
      <c r="O14" s="80"/>
      <c r="P14" s="83">
        <f t="shared" si="1"/>
        <v>53453</v>
      </c>
      <c r="Q14" s="84">
        <v>0.8</v>
      </c>
      <c r="R14" s="85"/>
    </row>
    <row r="15" spans="1:18" ht="30" customHeight="1" x14ac:dyDescent="0.3">
      <c r="A15" s="86">
        <v>6</v>
      </c>
      <c r="B15" s="77" t="s">
        <v>34</v>
      </c>
      <c r="C15" s="187"/>
      <c r="D15" s="104">
        <v>0</v>
      </c>
      <c r="E15" s="105">
        <v>18.91</v>
      </c>
      <c r="F15" s="79">
        <v>1.92</v>
      </c>
      <c r="G15" s="78"/>
      <c r="H15" s="77" t="s">
        <v>149</v>
      </c>
      <c r="I15" s="190"/>
      <c r="J15" s="80">
        <v>53453</v>
      </c>
      <c r="K15" s="81">
        <v>0</v>
      </c>
      <c r="L15" s="87">
        <f>443916</f>
        <v>443916</v>
      </c>
      <c r="M15" s="80"/>
      <c r="N15" s="82">
        <f t="shared" si="0"/>
        <v>497369</v>
      </c>
      <c r="O15" s="80">
        <f>252000+366765</f>
        <v>618765</v>
      </c>
      <c r="P15" s="83">
        <f t="shared" si="1"/>
        <v>1116134</v>
      </c>
      <c r="Q15" s="84">
        <v>0.8</v>
      </c>
      <c r="R15" s="85"/>
    </row>
    <row r="16" spans="1:18" ht="30" customHeight="1" x14ac:dyDescent="0.3">
      <c r="A16" s="76">
        <v>7</v>
      </c>
      <c r="B16" s="77" t="s">
        <v>35</v>
      </c>
      <c r="C16" s="187"/>
      <c r="D16" s="104">
        <v>0</v>
      </c>
      <c r="E16" s="105">
        <v>10.87</v>
      </c>
      <c r="F16" s="79">
        <v>1.6</v>
      </c>
      <c r="G16" s="77"/>
      <c r="H16" s="77" t="s">
        <v>149</v>
      </c>
      <c r="I16" s="190"/>
      <c r="J16" s="80">
        <v>0</v>
      </c>
      <c r="K16" s="81">
        <v>0</v>
      </c>
      <c r="L16" s="87"/>
      <c r="M16" s="80"/>
      <c r="N16" s="82">
        <f>J16+K16+L16+M16</f>
        <v>0</v>
      </c>
      <c r="O16" s="80">
        <f>265700+220500</f>
        <v>486200</v>
      </c>
      <c r="P16" s="83">
        <f t="shared" si="1"/>
        <v>486200</v>
      </c>
      <c r="Q16" s="84">
        <v>0.65</v>
      </c>
      <c r="R16" s="85"/>
    </row>
    <row r="17" spans="1:18" ht="30" customHeight="1" x14ac:dyDescent="0.3">
      <c r="A17" s="76">
        <v>8</v>
      </c>
      <c r="B17" s="77" t="s">
        <v>36</v>
      </c>
      <c r="C17" s="187"/>
      <c r="D17" s="104">
        <v>16</v>
      </c>
      <c r="E17" s="108">
        <v>55.21</v>
      </c>
      <c r="F17" s="79">
        <v>4.53</v>
      </c>
      <c r="G17" s="77"/>
      <c r="H17" s="77" t="s">
        <v>149</v>
      </c>
      <c r="I17" s="190"/>
      <c r="J17" s="80">
        <v>0</v>
      </c>
      <c r="K17" s="81">
        <v>0</v>
      </c>
      <c r="L17" s="87"/>
      <c r="M17" s="80"/>
      <c r="N17" s="82">
        <f t="shared" si="0"/>
        <v>0</v>
      </c>
      <c r="O17" s="80">
        <f>50000+235600</f>
        <v>285600</v>
      </c>
      <c r="P17" s="83">
        <f t="shared" si="1"/>
        <v>285600</v>
      </c>
      <c r="Q17" s="84">
        <v>0.85</v>
      </c>
      <c r="R17" s="85"/>
    </row>
    <row r="18" spans="1:18" ht="30" customHeight="1" x14ac:dyDescent="0.3">
      <c r="A18" s="76">
        <v>9</v>
      </c>
      <c r="B18" s="77" t="s">
        <v>37</v>
      </c>
      <c r="C18" s="187"/>
      <c r="D18" s="104">
        <v>10.57</v>
      </c>
      <c r="E18" s="108">
        <v>19.55</v>
      </c>
      <c r="F18" s="79">
        <v>1.25</v>
      </c>
      <c r="G18" s="77"/>
      <c r="H18" s="77" t="s">
        <v>149</v>
      </c>
      <c r="I18" s="190"/>
      <c r="J18" s="82">
        <v>0</v>
      </c>
      <c r="K18" s="81">
        <v>0</v>
      </c>
      <c r="L18" s="87"/>
      <c r="M18" s="80"/>
      <c r="N18" s="82">
        <f t="shared" si="0"/>
        <v>0</v>
      </c>
      <c r="O18" s="80">
        <f>150000+11250+705500</f>
        <v>866750</v>
      </c>
      <c r="P18" s="83">
        <f t="shared" si="1"/>
        <v>866750</v>
      </c>
      <c r="Q18" s="84">
        <v>0.8</v>
      </c>
      <c r="R18" s="85"/>
    </row>
    <row r="19" spans="1:18" ht="30" customHeight="1" x14ac:dyDescent="0.3">
      <c r="A19" s="86">
        <v>10</v>
      </c>
      <c r="B19" s="77" t="s">
        <v>38</v>
      </c>
      <c r="C19" s="187"/>
      <c r="D19" s="104">
        <v>0</v>
      </c>
      <c r="E19" s="109">
        <v>38.799999999999997</v>
      </c>
      <c r="F19" s="79">
        <v>3.6</v>
      </c>
      <c r="G19" s="77"/>
      <c r="H19" s="77" t="s">
        <v>149</v>
      </c>
      <c r="I19" s="190"/>
      <c r="J19" s="80">
        <v>0</v>
      </c>
      <c r="K19" s="81">
        <v>0</v>
      </c>
      <c r="L19" s="87"/>
      <c r="M19" s="80"/>
      <c r="N19" s="82">
        <f t="shared" si="0"/>
        <v>0</v>
      </c>
      <c r="O19" s="80">
        <f>180000+266000</f>
        <v>446000</v>
      </c>
      <c r="P19" s="83">
        <f t="shared" si="1"/>
        <v>446000</v>
      </c>
      <c r="Q19" s="84">
        <v>0.85</v>
      </c>
      <c r="R19" s="85"/>
    </row>
    <row r="20" spans="1:18" ht="30" customHeight="1" x14ac:dyDescent="0.3">
      <c r="A20" s="76">
        <v>11</v>
      </c>
      <c r="B20" s="77" t="s">
        <v>39</v>
      </c>
      <c r="C20" s="187"/>
      <c r="D20" s="104">
        <v>0</v>
      </c>
      <c r="E20" s="105">
        <v>16.25</v>
      </c>
      <c r="F20" s="79">
        <v>2.16</v>
      </c>
      <c r="G20" s="77"/>
      <c r="H20" s="77" t="s">
        <v>149</v>
      </c>
      <c r="I20" s="190"/>
      <c r="J20" s="80">
        <v>0</v>
      </c>
      <c r="K20" s="81">
        <v>0</v>
      </c>
      <c r="L20" s="87"/>
      <c r="M20" s="80"/>
      <c r="N20" s="82">
        <f t="shared" si="0"/>
        <v>0</v>
      </c>
      <c r="O20" s="80"/>
      <c r="P20" s="83">
        <f t="shared" si="1"/>
        <v>0</v>
      </c>
      <c r="Q20" s="84">
        <v>0.85</v>
      </c>
      <c r="R20" s="85"/>
    </row>
    <row r="21" spans="1:18" ht="30" customHeight="1" x14ac:dyDescent="0.3">
      <c r="A21" s="76">
        <v>12</v>
      </c>
      <c r="B21" s="77" t="s">
        <v>40</v>
      </c>
      <c r="C21" s="187"/>
      <c r="D21" s="104">
        <v>0</v>
      </c>
      <c r="E21" s="105">
        <v>2.4</v>
      </c>
      <c r="F21" s="79">
        <v>0.92</v>
      </c>
      <c r="G21" s="77"/>
      <c r="H21" s="77" t="s">
        <v>149</v>
      </c>
      <c r="I21" s="190"/>
      <c r="J21" s="80">
        <v>0</v>
      </c>
      <c r="K21" s="81">
        <v>0</v>
      </c>
      <c r="L21" s="82"/>
      <c r="M21" s="80"/>
      <c r="N21" s="82">
        <f t="shared" si="0"/>
        <v>0</v>
      </c>
      <c r="O21" s="80"/>
      <c r="P21" s="83">
        <f t="shared" si="1"/>
        <v>0</v>
      </c>
      <c r="Q21" s="84">
        <v>0.8</v>
      </c>
      <c r="R21" s="85"/>
    </row>
    <row r="22" spans="1:18" ht="30" customHeight="1" x14ac:dyDescent="0.3">
      <c r="A22" s="76">
        <v>13</v>
      </c>
      <c r="B22" s="77" t="s">
        <v>41</v>
      </c>
      <c r="C22" s="187"/>
      <c r="D22" s="104">
        <v>0</v>
      </c>
      <c r="E22" s="105">
        <v>15.5</v>
      </c>
      <c r="F22" s="79">
        <v>2.99</v>
      </c>
      <c r="G22" s="77"/>
      <c r="H22" s="77" t="s">
        <v>149</v>
      </c>
      <c r="I22" s="190"/>
      <c r="J22" s="80">
        <v>0</v>
      </c>
      <c r="K22" s="82">
        <v>0</v>
      </c>
      <c r="L22" s="82"/>
      <c r="M22" s="80"/>
      <c r="N22" s="82">
        <f t="shared" si="0"/>
        <v>0</v>
      </c>
      <c r="O22" s="80">
        <f>250000</f>
        <v>250000</v>
      </c>
      <c r="P22" s="83">
        <f t="shared" si="1"/>
        <v>250000</v>
      </c>
      <c r="Q22" s="84">
        <v>0.8</v>
      </c>
      <c r="R22" s="85"/>
    </row>
    <row r="23" spans="1:18" ht="30" customHeight="1" x14ac:dyDescent="0.3">
      <c r="A23" s="86">
        <v>14</v>
      </c>
      <c r="B23" s="77" t="s">
        <v>42</v>
      </c>
      <c r="C23" s="188"/>
      <c r="D23" s="104">
        <v>0</v>
      </c>
      <c r="E23" s="105">
        <v>1.93</v>
      </c>
      <c r="F23" s="79">
        <v>0.92</v>
      </c>
      <c r="G23" s="77"/>
      <c r="H23" s="77" t="s">
        <v>149</v>
      </c>
      <c r="I23" s="191"/>
      <c r="J23" s="82"/>
      <c r="K23" s="82"/>
      <c r="L23" s="77"/>
      <c r="M23" s="80"/>
      <c r="N23" s="82">
        <f t="shared" si="0"/>
        <v>0</v>
      </c>
      <c r="O23" s="80"/>
      <c r="P23" s="83">
        <f t="shared" si="1"/>
        <v>0</v>
      </c>
      <c r="Q23" s="84">
        <v>0.8</v>
      </c>
      <c r="R23" s="85"/>
    </row>
    <row r="24" spans="1:18" ht="30" customHeight="1" x14ac:dyDescent="0.3">
      <c r="A24" s="91"/>
      <c r="B24" s="92" t="s">
        <v>151</v>
      </c>
      <c r="C24" s="93"/>
      <c r="D24" s="110"/>
      <c r="E24" s="111"/>
      <c r="F24" s="94">
        <f>SUM(F10:F23)</f>
        <v>35.000000000000007</v>
      </c>
      <c r="G24" s="95"/>
      <c r="H24" s="96"/>
      <c r="I24" s="94" t="s">
        <v>150</v>
      </c>
      <c r="J24" s="97">
        <v>20091700.25</v>
      </c>
      <c r="K24" s="98">
        <f>SUM(K10:K23)</f>
        <v>0</v>
      </c>
      <c r="L24" s="97">
        <f>SUM(L10:L23)</f>
        <v>1004770</v>
      </c>
      <c r="M24" s="97"/>
      <c r="N24" s="98">
        <f t="shared" si="0"/>
        <v>21096470.25</v>
      </c>
      <c r="O24" s="97">
        <f>SUM(O10:O23)</f>
        <v>4489015</v>
      </c>
      <c r="P24" s="99">
        <f t="shared" si="1"/>
        <v>25585485.25</v>
      </c>
      <c r="Q24" s="100"/>
      <c r="R24" s="101"/>
    </row>
  </sheetData>
  <mergeCells count="24">
    <mergeCell ref="C10:C23"/>
    <mergeCell ref="I10:I23"/>
    <mergeCell ref="C1:R1"/>
    <mergeCell ref="A4:P4"/>
    <mergeCell ref="A5:B5"/>
    <mergeCell ref="A6:A9"/>
    <mergeCell ref="B6:B9"/>
    <mergeCell ref="C6:C9"/>
    <mergeCell ref="D6:E6"/>
    <mergeCell ref="F6:F9"/>
    <mergeCell ref="G6:G9"/>
    <mergeCell ref="A2:B2"/>
    <mergeCell ref="Q6:Q9"/>
    <mergeCell ref="D7:D9"/>
    <mergeCell ref="E7:E9"/>
    <mergeCell ref="H6:H9"/>
    <mergeCell ref="N6:N7"/>
    <mergeCell ref="O6:O7"/>
    <mergeCell ref="P6:P7"/>
    <mergeCell ref="K6:K7"/>
    <mergeCell ref="L6:L7"/>
    <mergeCell ref="M6:M7"/>
    <mergeCell ref="I6:I7"/>
    <mergeCell ref="J6:J7"/>
  </mergeCells>
  <printOptions horizontalCentered="1" verticalCentered="1"/>
  <pageMargins left="0.5" right="0.5" top="0.5" bottom="0.5" header="0.3" footer="0.3"/>
  <pageSetup paperSize="9" scale="6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owSelectForm">
                <anchor moveWithCells="1">
                  <from>
                    <xdr:col>19</xdr:col>
                    <xdr:colOff>22860</xdr:colOff>
                    <xdr:row>5</xdr:row>
                    <xdr:rowOff>175260</xdr:rowOff>
                  </from>
                  <to>
                    <xdr:col>19</xdr:col>
                    <xdr:colOff>1356360</xdr:colOff>
                    <xdr:row>7</xdr:row>
                    <xdr:rowOff>7620</xdr:rowOff>
                  </to>
                </anchor>
              </controlPr>
            </control>
          </mc:Choice>
        </mc:AlternateContent>
        <mc:AlternateContent xmlns:mc="http://schemas.openxmlformats.org/markup-compatibility/2006">
          <mc:Choice Requires="x14">
            <control shapeId="10242" r:id="rId5" name="Button 2">
              <controlPr defaultSize="0" print="0" autoFill="0" autoPict="0" macro="[0]!PrintRPRTable">
                <anchor moveWithCells="1">
                  <from>
                    <xdr:col>19</xdr:col>
                    <xdr:colOff>30480</xdr:colOff>
                    <xdr:row>7</xdr:row>
                    <xdr:rowOff>22860</xdr:rowOff>
                  </from>
                  <to>
                    <xdr:col>19</xdr:col>
                    <xdr:colOff>1363980</xdr:colOff>
                    <xdr:row>10</xdr:row>
                    <xdr:rowOff>68580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4BAF2-2CD3-4A95-9C01-309A6B531727}">
  <sheetPr codeName="Sheet2"/>
  <dimension ref="A1:T30"/>
  <sheetViews>
    <sheetView tabSelected="1" workbookViewId="0">
      <selection activeCell="A2" sqref="A2"/>
    </sheetView>
  </sheetViews>
  <sheetFormatPr defaultRowHeight="14.4" x14ac:dyDescent="0.3"/>
  <cols>
    <col min="1" max="7" width="11.109375" customWidth="1"/>
    <col min="8" max="8" width="12.88671875" customWidth="1"/>
    <col min="9" max="17" width="11.109375" customWidth="1"/>
    <col min="18" max="18" width="13.6640625" customWidth="1"/>
    <col min="19" max="19" width="11.109375" customWidth="1"/>
    <col min="20" max="20" width="15.21875" customWidth="1"/>
  </cols>
  <sheetData>
    <row r="1" spans="1:20" ht="15" thickBot="1" x14ac:dyDescent="0.35">
      <c r="A1" s="231" t="s">
        <v>197</v>
      </c>
      <c r="B1" s="231"/>
      <c r="C1" s="231"/>
      <c r="D1" s="231"/>
      <c r="E1" s="231" t="s">
        <v>196</v>
      </c>
      <c r="F1" s="231"/>
      <c r="G1" s="231"/>
      <c r="H1" s="231"/>
      <c r="I1" s="231"/>
      <c r="J1" s="231"/>
      <c r="K1" s="231"/>
      <c r="L1" s="231"/>
      <c r="M1" s="231"/>
      <c r="N1" s="231"/>
      <c r="O1" s="231"/>
      <c r="P1" s="231"/>
      <c r="Q1" s="231"/>
      <c r="R1" s="231"/>
      <c r="S1" s="231"/>
      <c r="T1" s="231"/>
    </row>
    <row r="2" spans="1:20" ht="52.8" customHeight="1" thickBot="1" x14ac:dyDescent="0.35">
      <c r="A2" s="120" t="s">
        <v>171</v>
      </c>
      <c r="B2" s="143" t="s">
        <v>172</v>
      </c>
      <c r="C2" s="133" t="s">
        <v>173</v>
      </c>
      <c r="D2" s="127" t="s">
        <v>174</v>
      </c>
      <c r="E2" s="128" t="s">
        <v>175</v>
      </c>
      <c r="F2" s="129" t="s">
        <v>176</v>
      </c>
      <c r="G2" s="128" t="s">
        <v>177</v>
      </c>
      <c r="H2" s="129" t="s">
        <v>178</v>
      </c>
      <c r="I2" s="128" t="s">
        <v>39</v>
      </c>
      <c r="J2" s="129" t="s">
        <v>179</v>
      </c>
      <c r="K2" s="128" t="s">
        <v>180</v>
      </c>
      <c r="L2" s="128" t="s">
        <v>181</v>
      </c>
      <c r="M2" s="129" t="s">
        <v>182</v>
      </c>
      <c r="N2" s="129" t="s">
        <v>183</v>
      </c>
      <c r="O2" s="129" t="s">
        <v>184</v>
      </c>
      <c r="P2" s="130" t="s">
        <v>38</v>
      </c>
      <c r="Q2" s="131" t="s">
        <v>32</v>
      </c>
      <c r="R2" s="140" t="s">
        <v>151</v>
      </c>
      <c r="S2" s="143" t="s">
        <v>185</v>
      </c>
      <c r="T2" s="126" t="s">
        <v>186</v>
      </c>
    </row>
    <row r="3" spans="1:20" x14ac:dyDescent="0.3">
      <c r="A3" s="230">
        <v>1</v>
      </c>
      <c r="B3" s="224" t="s">
        <v>43</v>
      </c>
      <c r="C3" s="214">
        <v>0</v>
      </c>
      <c r="D3" s="116"/>
      <c r="E3" s="116"/>
      <c r="F3" s="116"/>
      <c r="G3" s="116"/>
      <c r="H3" s="116"/>
      <c r="I3" s="116"/>
      <c r="J3" s="116"/>
      <c r="K3" s="116"/>
      <c r="L3" s="116"/>
      <c r="M3" s="116"/>
      <c r="N3" s="116"/>
      <c r="O3" s="116"/>
      <c r="P3" s="116"/>
      <c r="Q3" s="116"/>
      <c r="R3" s="121">
        <v>0</v>
      </c>
      <c r="S3" s="135"/>
      <c r="T3" s="125">
        <v>0</v>
      </c>
    </row>
    <row r="4" spans="1:20" x14ac:dyDescent="0.3">
      <c r="A4" s="219"/>
      <c r="B4" s="223"/>
      <c r="C4" s="215"/>
      <c r="D4" s="122"/>
      <c r="E4" s="122"/>
      <c r="F4" s="122"/>
      <c r="G4" s="122"/>
      <c r="H4" s="122"/>
      <c r="I4" s="122"/>
      <c r="J4" s="122"/>
      <c r="K4" s="122"/>
      <c r="L4" s="122"/>
      <c r="M4" s="122"/>
      <c r="N4" s="122"/>
      <c r="O4" s="122"/>
      <c r="P4" s="122"/>
      <c r="Q4" s="122"/>
      <c r="R4" s="123"/>
      <c r="S4" s="136"/>
      <c r="T4" s="137">
        <v>0</v>
      </c>
    </row>
    <row r="5" spans="1:20" x14ac:dyDescent="0.3">
      <c r="A5" s="219">
        <v>2</v>
      </c>
      <c r="B5" s="221" t="s">
        <v>192</v>
      </c>
      <c r="C5" s="214">
        <v>0</v>
      </c>
      <c r="D5" s="116"/>
      <c r="E5" s="116"/>
      <c r="F5" s="116"/>
      <c r="G5" s="116"/>
      <c r="H5" s="116"/>
      <c r="I5" s="116"/>
      <c r="J5" s="116"/>
      <c r="K5" s="116"/>
      <c r="L5" s="116"/>
      <c r="M5" s="116"/>
      <c r="N5" s="116"/>
      <c r="O5" s="116"/>
      <c r="P5" s="116"/>
      <c r="Q5" s="116"/>
      <c r="R5" s="121">
        <v>0</v>
      </c>
      <c r="S5" s="135"/>
      <c r="T5" s="125">
        <v>0</v>
      </c>
    </row>
    <row r="6" spans="1:20" x14ac:dyDescent="0.3">
      <c r="A6" s="219"/>
      <c r="B6" s="223"/>
      <c r="C6" s="215"/>
      <c r="D6" s="122"/>
      <c r="E6" s="122"/>
      <c r="F6" s="122"/>
      <c r="G6" s="122"/>
      <c r="H6" s="122"/>
      <c r="I6" s="122"/>
      <c r="J6" s="122"/>
      <c r="K6" s="122"/>
      <c r="L6" s="122"/>
      <c r="M6" s="122"/>
      <c r="N6" s="122"/>
      <c r="O6" s="122"/>
      <c r="P6" s="122"/>
      <c r="Q6" s="122"/>
      <c r="R6" s="123"/>
      <c r="S6" s="136"/>
      <c r="T6" s="137">
        <v>0</v>
      </c>
    </row>
    <row r="7" spans="1:20" x14ac:dyDescent="0.3">
      <c r="A7" s="219">
        <v>3</v>
      </c>
      <c r="B7" s="221" t="s">
        <v>193</v>
      </c>
      <c r="C7" s="214">
        <v>14100000</v>
      </c>
      <c r="D7" s="116">
        <v>0</v>
      </c>
      <c r="E7" s="116">
        <v>0</v>
      </c>
      <c r="F7" s="116">
        <v>0</v>
      </c>
      <c r="G7" s="116">
        <v>0</v>
      </c>
      <c r="H7" s="116">
        <v>0</v>
      </c>
      <c r="I7" s="116">
        <v>0</v>
      </c>
      <c r="J7" s="116">
        <v>0</v>
      </c>
      <c r="K7" s="116">
        <v>55134.8</v>
      </c>
      <c r="L7" s="116">
        <v>0</v>
      </c>
      <c r="M7" s="116">
        <v>0</v>
      </c>
      <c r="N7" s="116">
        <v>0</v>
      </c>
      <c r="O7" s="116">
        <v>0</v>
      </c>
      <c r="P7" s="116">
        <v>0</v>
      </c>
      <c r="Q7" s="116">
        <v>0</v>
      </c>
      <c r="R7" s="125">
        <v>55134.8</v>
      </c>
      <c r="S7" s="125">
        <v>0</v>
      </c>
      <c r="T7" s="125">
        <v>55134.8</v>
      </c>
    </row>
    <row r="8" spans="1:20" x14ac:dyDescent="0.3">
      <c r="A8" s="219"/>
      <c r="B8" s="223"/>
      <c r="C8" s="215"/>
      <c r="D8" s="137">
        <v>0</v>
      </c>
      <c r="E8" s="137">
        <v>0</v>
      </c>
      <c r="F8" s="137">
        <v>0</v>
      </c>
      <c r="G8" s="137">
        <v>0</v>
      </c>
      <c r="H8" s="137">
        <v>14000000</v>
      </c>
      <c r="I8" s="137">
        <v>0</v>
      </c>
      <c r="J8" s="137">
        <v>0</v>
      </c>
      <c r="K8" s="137">
        <v>100000</v>
      </c>
      <c r="L8" s="137">
        <v>0</v>
      </c>
      <c r="M8" s="137">
        <v>0</v>
      </c>
      <c r="N8" s="137">
        <v>0</v>
      </c>
      <c r="O8" s="137">
        <v>0</v>
      </c>
      <c r="P8" s="137">
        <v>0</v>
      </c>
      <c r="Q8" s="137">
        <v>0</v>
      </c>
      <c r="R8" s="137">
        <v>14100000</v>
      </c>
      <c r="S8" s="137">
        <v>0</v>
      </c>
      <c r="T8" s="137">
        <v>14100000</v>
      </c>
    </row>
    <row r="9" spans="1:20" x14ac:dyDescent="0.3">
      <c r="A9" s="219">
        <v>4</v>
      </c>
      <c r="B9" s="221" t="s">
        <v>46</v>
      </c>
      <c r="C9" s="214">
        <v>0</v>
      </c>
      <c r="D9" s="116"/>
      <c r="E9" s="116"/>
      <c r="F9" s="116"/>
      <c r="G9" s="116"/>
      <c r="H9" s="116"/>
      <c r="I9" s="116"/>
      <c r="J9" s="116"/>
      <c r="K9" s="116"/>
      <c r="L9" s="116"/>
      <c r="M9" s="116"/>
      <c r="N9" s="116"/>
      <c r="O9" s="116"/>
      <c r="P9" s="116"/>
      <c r="Q9" s="116"/>
      <c r="R9" s="121">
        <v>0</v>
      </c>
      <c r="S9" s="135"/>
      <c r="T9" s="125">
        <v>0</v>
      </c>
    </row>
    <row r="10" spans="1:20" x14ac:dyDescent="0.3">
      <c r="A10" s="219"/>
      <c r="B10" s="223"/>
      <c r="C10" s="215"/>
      <c r="D10" s="122"/>
      <c r="E10" s="122"/>
      <c r="F10" s="122"/>
      <c r="G10" s="122"/>
      <c r="H10" s="122"/>
      <c r="I10" s="122"/>
      <c r="J10" s="122"/>
      <c r="K10" s="122"/>
      <c r="L10" s="122"/>
      <c r="M10" s="122"/>
      <c r="N10" s="122"/>
      <c r="O10" s="122"/>
      <c r="P10" s="122"/>
      <c r="Q10" s="122"/>
      <c r="R10" s="123"/>
      <c r="S10" s="136"/>
      <c r="T10" s="137">
        <v>0</v>
      </c>
    </row>
    <row r="11" spans="1:20" x14ac:dyDescent="0.3">
      <c r="A11" s="219">
        <v>5</v>
      </c>
      <c r="B11" s="221" t="s">
        <v>194</v>
      </c>
      <c r="C11" s="214">
        <v>500000</v>
      </c>
      <c r="D11" s="116">
        <v>0</v>
      </c>
      <c r="E11" s="116">
        <v>0</v>
      </c>
      <c r="F11" s="116">
        <v>0</v>
      </c>
      <c r="G11" s="116">
        <v>500223.6</v>
      </c>
      <c r="H11" s="116">
        <v>0</v>
      </c>
      <c r="I11" s="116">
        <v>0</v>
      </c>
      <c r="J11" s="116">
        <v>0</v>
      </c>
      <c r="K11" s="116">
        <v>0</v>
      </c>
      <c r="L11" s="116">
        <v>0</v>
      </c>
      <c r="M11" s="116">
        <v>0</v>
      </c>
      <c r="N11" s="116">
        <v>0</v>
      </c>
      <c r="O11" s="116">
        <v>0</v>
      </c>
      <c r="P11" s="116">
        <v>0</v>
      </c>
      <c r="Q11" s="116">
        <v>0</v>
      </c>
      <c r="R11" s="125">
        <v>500223.6</v>
      </c>
      <c r="S11" s="125">
        <v>0</v>
      </c>
      <c r="T11" s="125">
        <v>500223.6</v>
      </c>
    </row>
    <row r="12" spans="1:20" x14ac:dyDescent="0.3">
      <c r="A12" s="219"/>
      <c r="B12" s="223"/>
      <c r="C12" s="215"/>
      <c r="D12" s="137">
        <v>0</v>
      </c>
      <c r="E12" s="137">
        <v>0</v>
      </c>
      <c r="F12" s="137">
        <v>0</v>
      </c>
      <c r="G12" s="137">
        <v>500000</v>
      </c>
      <c r="H12" s="137">
        <v>0</v>
      </c>
      <c r="I12" s="137">
        <v>0</v>
      </c>
      <c r="J12" s="137">
        <v>0</v>
      </c>
      <c r="K12" s="137">
        <v>0</v>
      </c>
      <c r="L12" s="137">
        <v>0</v>
      </c>
      <c r="M12" s="137">
        <v>0</v>
      </c>
      <c r="N12" s="137">
        <v>0</v>
      </c>
      <c r="O12" s="137">
        <v>0</v>
      </c>
      <c r="P12" s="137">
        <v>0</v>
      </c>
      <c r="Q12" s="137">
        <v>0</v>
      </c>
      <c r="R12" s="137">
        <v>500000</v>
      </c>
      <c r="S12" s="137">
        <v>0</v>
      </c>
      <c r="T12" s="137">
        <v>500000</v>
      </c>
    </row>
    <row r="13" spans="1:20" x14ac:dyDescent="0.3">
      <c r="A13" s="219">
        <v>6</v>
      </c>
      <c r="B13" s="221" t="s">
        <v>48</v>
      </c>
      <c r="C13" s="214">
        <v>15930000</v>
      </c>
      <c r="D13" s="116">
        <v>483200</v>
      </c>
      <c r="E13" s="116">
        <v>140000</v>
      </c>
      <c r="F13" s="116">
        <v>722429.24</v>
      </c>
      <c r="G13" s="116">
        <v>2911214.0300000003</v>
      </c>
      <c r="H13" s="116">
        <v>1130939.3</v>
      </c>
      <c r="I13" s="116">
        <v>1250991.7</v>
      </c>
      <c r="J13" s="116">
        <v>1300000</v>
      </c>
      <c r="K13" s="116">
        <v>1109543</v>
      </c>
      <c r="L13" s="116">
        <v>3280430.9</v>
      </c>
      <c r="M13" s="116">
        <v>603100.5</v>
      </c>
      <c r="N13" s="116">
        <v>1635175.48</v>
      </c>
      <c r="O13" s="116">
        <v>472040</v>
      </c>
      <c r="P13" s="116">
        <v>0</v>
      </c>
      <c r="Q13" s="116">
        <v>129625.54000000001</v>
      </c>
      <c r="R13" s="125">
        <v>15168689.690000001</v>
      </c>
      <c r="S13" s="125">
        <v>77510</v>
      </c>
      <c r="T13" s="125">
        <v>15246199.690000001</v>
      </c>
    </row>
    <row r="14" spans="1:20" x14ac:dyDescent="0.3">
      <c r="A14" s="219"/>
      <c r="B14" s="223"/>
      <c r="C14" s="215"/>
      <c r="D14" s="137">
        <v>700000</v>
      </c>
      <c r="E14" s="137">
        <v>294000</v>
      </c>
      <c r="F14" s="137">
        <v>630000</v>
      </c>
      <c r="G14" s="137">
        <v>2895000</v>
      </c>
      <c r="H14" s="137">
        <v>1230000</v>
      </c>
      <c r="I14" s="137">
        <v>1255000</v>
      </c>
      <c r="J14" s="137">
        <v>1650000</v>
      </c>
      <c r="K14" s="137">
        <v>1070000</v>
      </c>
      <c r="L14" s="137">
        <v>3306000</v>
      </c>
      <c r="M14" s="137">
        <v>610000</v>
      </c>
      <c r="N14" s="137">
        <v>1645000</v>
      </c>
      <c r="O14" s="137">
        <v>485000</v>
      </c>
      <c r="P14" s="137">
        <v>20000</v>
      </c>
      <c r="Q14" s="137">
        <v>140000</v>
      </c>
      <c r="R14" s="137">
        <v>15930000</v>
      </c>
      <c r="S14" s="137">
        <v>0</v>
      </c>
      <c r="T14" s="137">
        <v>15930000</v>
      </c>
    </row>
    <row r="15" spans="1:20" x14ac:dyDescent="0.3">
      <c r="A15" s="219">
        <v>7</v>
      </c>
      <c r="B15" s="221" t="s">
        <v>49</v>
      </c>
      <c r="C15" s="214">
        <v>0</v>
      </c>
      <c r="D15" s="116"/>
      <c r="E15" s="116"/>
      <c r="F15" s="116"/>
      <c r="G15" s="116"/>
      <c r="H15" s="116"/>
      <c r="I15" s="116"/>
      <c r="J15" s="116"/>
      <c r="K15" s="116"/>
      <c r="L15" s="116"/>
      <c r="M15" s="116"/>
      <c r="N15" s="116"/>
      <c r="O15" s="116"/>
      <c r="P15" s="116"/>
      <c r="Q15" s="116"/>
      <c r="R15" s="121">
        <v>0</v>
      </c>
      <c r="S15" s="135"/>
      <c r="T15" s="125">
        <v>0</v>
      </c>
    </row>
    <row r="16" spans="1:20" x14ac:dyDescent="0.3">
      <c r="A16" s="219"/>
      <c r="B16" s="223"/>
      <c r="C16" s="215"/>
      <c r="D16" s="122"/>
      <c r="E16" s="122"/>
      <c r="F16" s="122"/>
      <c r="G16" s="122"/>
      <c r="H16" s="122"/>
      <c r="I16" s="122"/>
      <c r="J16" s="122"/>
      <c r="K16" s="122"/>
      <c r="L16" s="122"/>
      <c r="M16" s="122"/>
      <c r="N16" s="122"/>
      <c r="O16" s="122"/>
      <c r="P16" s="122"/>
      <c r="Q16" s="122"/>
      <c r="R16" s="123"/>
      <c r="S16" s="136"/>
      <c r="T16" s="137">
        <v>0</v>
      </c>
    </row>
    <row r="17" spans="1:20" x14ac:dyDescent="0.3">
      <c r="A17" s="219">
        <v>8</v>
      </c>
      <c r="B17" s="221" t="s">
        <v>50</v>
      </c>
      <c r="C17" s="214">
        <v>5556000</v>
      </c>
      <c r="D17" s="116">
        <v>0</v>
      </c>
      <c r="E17" s="116">
        <v>65711.25</v>
      </c>
      <c r="F17" s="116">
        <v>0</v>
      </c>
      <c r="G17" s="116">
        <v>0</v>
      </c>
      <c r="H17" s="116">
        <v>0</v>
      </c>
      <c r="I17" s="116">
        <v>0</v>
      </c>
      <c r="J17" s="116">
        <v>0</v>
      </c>
      <c r="K17" s="116">
        <v>2912593.61</v>
      </c>
      <c r="L17" s="116">
        <v>0</v>
      </c>
      <c r="M17" s="116">
        <v>0</v>
      </c>
      <c r="N17" s="116">
        <v>0</v>
      </c>
      <c r="O17" s="116">
        <v>0</v>
      </c>
      <c r="P17" s="116">
        <v>0</v>
      </c>
      <c r="Q17" s="116">
        <v>0</v>
      </c>
      <c r="R17" s="125">
        <v>2978304.86</v>
      </c>
      <c r="S17" s="125">
        <v>0</v>
      </c>
      <c r="T17" s="125">
        <v>2978304.86</v>
      </c>
    </row>
    <row r="18" spans="1:20" x14ac:dyDescent="0.3">
      <c r="A18" s="219"/>
      <c r="B18" s="223"/>
      <c r="C18" s="215"/>
      <c r="D18" s="137">
        <v>0</v>
      </c>
      <c r="E18" s="137">
        <v>66000</v>
      </c>
      <c r="F18" s="137">
        <v>0</v>
      </c>
      <c r="G18" s="137">
        <v>0</v>
      </c>
      <c r="H18" s="137">
        <v>0</v>
      </c>
      <c r="I18" s="137">
        <v>0</v>
      </c>
      <c r="J18" s="137">
        <v>0</v>
      </c>
      <c r="K18" s="137">
        <v>5490000</v>
      </c>
      <c r="L18" s="137">
        <v>0</v>
      </c>
      <c r="M18" s="137">
        <v>0</v>
      </c>
      <c r="N18" s="137">
        <v>0</v>
      </c>
      <c r="O18" s="137">
        <v>0</v>
      </c>
      <c r="P18" s="137">
        <v>0</v>
      </c>
      <c r="Q18" s="137">
        <v>0</v>
      </c>
      <c r="R18" s="137">
        <v>5556000</v>
      </c>
      <c r="S18" s="137">
        <v>0</v>
      </c>
      <c r="T18" s="137">
        <v>5556000</v>
      </c>
    </row>
    <row r="19" spans="1:20" x14ac:dyDescent="0.3">
      <c r="A19" s="219">
        <v>9</v>
      </c>
      <c r="B19" s="221" t="s">
        <v>51</v>
      </c>
      <c r="C19" s="214">
        <v>0</v>
      </c>
      <c r="D19" s="116"/>
      <c r="E19" s="116"/>
      <c r="F19" s="116"/>
      <c r="G19" s="116"/>
      <c r="H19" s="116"/>
      <c r="I19" s="116"/>
      <c r="J19" s="116"/>
      <c r="K19" s="116"/>
      <c r="L19" s="116"/>
      <c r="M19" s="116"/>
      <c r="N19" s="116"/>
      <c r="O19" s="116"/>
      <c r="P19" s="116"/>
      <c r="Q19" s="116"/>
      <c r="R19" s="121">
        <v>0</v>
      </c>
      <c r="S19" s="135"/>
      <c r="T19" s="125">
        <v>0</v>
      </c>
    </row>
    <row r="20" spans="1:20" x14ac:dyDescent="0.3">
      <c r="A20" s="219"/>
      <c r="B20" s="223"/>
      <c r="C20" s="215"/>
      <c r="D20" s="122"/>
      <c r="E20" s="122"/>
      <c r="F20" s="122"/>
      <c r="G20" s="122"/>
      <c r="H20" s="122"/>
      <c r="I20" s="122"/>
      <c r="J20" s="122"/>
      <c r="K20" s="122"/>
      <c r="L20" s="122"/>
      <c r="M20" s="122"/>
      <c r="N20" s="122"/>
      <c r="O20" s="122"/>
      <c r="P20" s="122"/>
      <c r="Q20" s="122"/>
      <c r="R20" s="123"/>
      <c r="S20" s="136"/>
      <c r="T20" s="137">
        <v>0</v>
      </c>
    </row>
    <row r="21" spans="1:20" x14ac:dyDescent="0.3">
      <c r="A21" s="219">
        <v>10</v>
      </c>
      <c r="B21" s="221" t="s">
        <v>195</v>
      </c>
      <c r="C21" s="214">
        <v>0</v>
      </c>
      <c r="D21" s="116"/>
      <c r="E21" s="116"/>
      <c r="F21" s="116"/>
      <c r="G21" s="116"/>
      <c r="H21" s="116"/>
      <c r="I21" s="116"/>
      <c r="J21" s="116"/>
      <c r="K21" s="116"/>
      <c r="L21" s="116"/>
      <c r="M21" s="116"/>
      <c r="N21" s="116"/>
      <c r="O21" s="116"/>
      <c r="P21" s="116"/>
      <c r="Q21" s="116"/>
      <c r="R21" s="121">
        <v>0</v>
      </c>
      <c r="S21" s="135"/>
      <c r="T21" s="125">
        <v>0</v>
      </c>
    </row>
    <row r="22" spans="1:20" x14ac:dyDescent="0.3">
      <c r="A22" s="219"/>
      <c r="B22" s="223"/>
      <c r="C22" s="215"/>
      <c r="D22" s="138"/>
      <c r="E22" s="138"/>
      <c r="F22" s="138"/>
      <c r="G22" s="138"/>
      <c r="H22" s="138"/>
      <c r="I22" s="138"/>
      <c r="J22" s="138"/>
      <c r="K22" s="138"/>
      <c r="L22" s="138"/>
      <c r="M22" s="138"/>
      <c r="N22" s="138"/>
      <c r="O22" s="138"/>
      <c r="P22" s="138"/>
      <c r="Q22" s="138"/>
      <c r="R22" s="139"/>
      <c r="S22" s="136"/>
      <c r="T22" s="137">
        <v>0</v>
      </c>
    </row>
    <row r="23" spans="1:20" x14ac:dyDescent="0.3">
      <c r="A23" s="219">
        <v>11</v>
      </c>
      <c r="B23" s="221" t="s">
        <v>53</v>
      </c>
      <c r="C23" s="214">
        <v>74000</v>
      </c>
      <c r="D23" s="132">
        <v>0</v>
      </c>
      <c r="E23" s="132">
        <v>0</v>
      </c>
      <c r="F23" s="132">
        <v>0</v>
      </c>
      <c r="G23" s="132">
        <v>0</v>
      </c>
      <c r="H23" s="132">
        <v>0</v>
      </c>
      <c r="I23" s="132">
        <v>0</v>
      </c>
      <c r="J23" s="132">
        <v>20000</v>
      </c>
      <c r="K23" s="132">
        <v>0</v>
      </c>
      <c r="L23" s="132">
        <v>32000</v>
      </c>
      <c r="M23" s="132">
        <v>0</v>
      </c>
      <c r="N23" s="132">
        <v>0</v>
      </c>
      <c r="O23" s="132">
        <v>20000</v>
      </c>
      <c r="P23" s="132">
        <v>0</v>
      </c>
      <c r="Q23" s="132">
        <v>0</v>
      </c>
      <c r="R23" s="147">
        <v>72000</v>
      </c>
      <c r="S23" s="147">
        <v>0</v>
      </c>
      <c r="T23" s="147">
        <v>72000</v>
      </c>
    </row>
    <row r="24" spans="1:20" ht="15" thickBot="1" x14ac:dyDescent="0.35">
      <c r="A24" s="220"/>
      <c r="B24" s="222"/>
      <c r="C24" s="216"/>
      <c r="D24" s="146">
        <v>0</v>
      </c>
      <c r="E24" s="146">
        <v>0</v>
      </c>
      <c r="F24" s="146">
        <v>0</v>
      </c>
      <c r="G24" s="146">
        <v>0</v>
      </c>
      <c r="H24" s="146">
        <v>0</v>
      </c>
      <c r="I24" s="146">
        <v>0</v>
      </c>
      <c r="J24" s="146">
        <v>20000</v>
      </c>
      <c r="K24" s="146">
        <v>0</v>
      </c>
      <c r="L24" s="146">
        <v>34000</v>
      </c>
      <c r="M24" s="146">
        <v>0</v>
      </c>
      <c r="N24" s="146">
        <v>0</v>
      </c>
      <c r="O24" s="146">
        <v>20000</v>
      </c>
      <c r="P24" s="146">
        <v>0</v>
      </c>
      <c r="Q24" s="146">
        <v>0</v>
      </c>
      <c r="R24" s="146">
        <v>74000</v>
      </c>
      <c r="S24" s="146">
        <v>0</v>
      </c>
      <c r="T24" s="146">
        <v>74000</v>
      </c>
    </row>
    <row r="25" spans="1:20" x14ac:dyDescent="0.3">
      <c r="A25" s="228" t="s">
        <v>187</v>
      </c>
      <c r="B25" s="229"/>
      <c r="C25" s="134">
        <v>36160000</v>
      </c>
      <c r="D25" s="117">
        <v>483200</v>
      </c>
      <c r="E25" s="117">
        <v>205711.25</v>
      </c>
      <c r="F25" s="117">
        <v>722429.24</v>
      </c>
      <c r="G25" s="117">
        <v>3411437.63</v>
      </c>
      <c r="H25" s="117">
        <v>1130939.3</v>
      </c>
      <c r="I25" s="117">
        <v>1250991.7</v>
      </c>
      <c r="J25" s="117">
        <v>1320000</v>
      </c>
      <c r="K25" s="117">
        <v>4077271.4099999997</v>
      </c>
      <c r="L25" s="117">
        <v>3312430.9</v>
      </c>
      <c r="M25" s="117">
        <v>603100.5</v>
      </c>
      <c r="N25" s="117">
        <v>1635175.48</v>
      </c>
      <c r="O25" s="117">
        <v>492040</v>
      </c>
      <c r="P25" s="117">
        <v>0</v>
      </c>
      <c r="Q25" s="117">
        <v>129625.54000000001</v>
      </c>
      <c r="R25" s="148">
        <v>18774352.950000003</v>
      </c>
      <c r="S25" s="145">
        <v>77510</v>
      </c>
      <c r="T25" s="125">
        <v>18851862.950000003</v>
      </c>
    </row>
    <row r="26" spans="1:20" x14ac:dyDescent="0.3">
      <c r="A26" s="217" t="s">
        <v>188</v>
      </c>
      <c r="B26" s="218"/>
      <c r="C26" s="118"/>
      <c r="D26" s="124">
        <v>700000</v>
      </c>
      <c r="E26" s="124">
        <v>360000</v>
      </c>
      <c r="F26" s="124">
        <v>630000</v>
      </c>
      <c r="G26" s="124">
        <v>3395000</v>
      </c>
      <c r="H26" s="124">
        <v>15230000</v>
      </c>
      <c r="I26" s="124">
        <v>1255000</v>
      </c>
      <c r="J26" s="124">
        <v>1670000</v>
      </c>
      <c r="K26" s="124">
        <v>6660000</v>
      </c>
      <c r="L26" s="124">
        <v>3340000</v>
      </c>
      <c r="M26" s="124">
        <v>610000</v>
      </c>
      <c r="N26" s="124">
        <v>1645000</v>
      </c>
      <c r="O26" s="124">
        <v>505000</v>
      </c>
      <c r="P26" s="124">
        <v>20000</v>
      </c>
      <c r="Q26" s="124">
        <v>140000</v>
      </c>
      <c r="R26" s="124">
        <v>36160000</v>
      </c>
      <c r="S26" s="124"/>
      <c r="T26" s="137">
        <v>36160000</v>
      </c>
    </row>
    <row r="27" spans="1:20" x14ac:dyDescent="0.3">
      <c r="A27" s="225" t="s">
        <v>189</v>
      </c>
      <c r="B27" s="225"/>
      <c r="C27" s="115"/>
      <c r="D27" s="119">
        <v>0</v>
      </c>
      <c r="E27" s="119">
        <v>0</v>
      </c>
      <c r="F27" s="119">
        <v>0</v>
      </c>
      <c r="G27" s="119">
        <v>0</v>
      </c>
      <c r="H27" s="119">
        <v>0</v>
      </c>
      <c r="I27" s="119">
        <v>0</v>
      </c>
      <c r="J27" s="119">
        <v>0</v>
      </c>
      <c r="K27" s="119">
        <v>0</v>
      </c>
      <c r="L27" s="119">
        <v>0</v>
      </c>
      <c r="M27" s="119">
        <v>0</v>
      </c>
      <c r="N27" s="119">
        <v>0</v>
      </c>
      <c r="O27" s="119">
        <v>0</v>
      </c>
      <c r="P27" s="119">
        <v>0</v>
      </c>
      <c r="Q27" s="119">
        <v>0</v>
      </c>
      <c r="R27" s="119">
        <v>0</v>
      </c>
      <c r="S27" s="119"/>
      <c r="T27" s="125">
        <v>0</v>
      </c>
    </row>
    <row r="28" spans="1:20" x14ac:dyDescent="0.3">
      <c r="A28" s="225" t="s">
        <v>190</v>
      </c>
      <c r="B28" s="225"/>
      <c r="C28" s="115"/>
      <c r="D28" s="119">
        <v>0</v>
      </c>
      <c r="E28" s="119">
        <v>0</v>
      </c>
      <c r="F28" s="119">
        <v>0</v>
      </c>
      <c r="G28" s="119">
        <v>0</v>
      </c>
      <c r="H28" s="119">
        <v>0</v>
      </c>
      <c r="I28" s="119">
        <v>0</v>
      </c>
      <c r="J28" s="119">
        <v>0</v>
      </c>
      <c r="K28" s="119">
        <v>0</v>
      </c>
      <c r="L28" s="119">
        <v>77510</v>
      </c>
      <c r="M28" s="119">
        <v>0</v>
      </c>
      <c r="N28" s="119">
        <v>0</v>
      </c>
      <c r="O28" s="119">
        <v>0</v>
      </c>
      <c r="P28" s="119">
        <v>0</v>
      </c>
      <c r="Q28" s="119">
        <v>0</v>
      </c>
      <c r="R28" s="119">
        <v>77510</v>
      </c>
      <c r="S28" s="119"/>
      <c r="T28" s="125">
        <v>77510</v>
      </c>
    </row>
    <row r="29" spans="1:20" x14ac:dyDescent="0.3">
      <c r="A29" s="217" t="s">
        <v>151</v>
      </c>
      <c r="B29" s="218"/>
      <c r="C29" s="114"/>
      <c r="D29" s="118">
        <v>483200</v>
      </c>
      <c r="E29" s="118">
        <v>205711.25</v>
      </c>
      <c r="F29" s="118">
        <v>722429.24</v>
      </c>
      <c r="G29" s="118">
        <v>3411437.63</v>
      </c>
      <c r="H29" s="118">
        <v>1130939.3</v>
      </c>
      <c r="I29" s="118">
        <v>1250991.7</v>
      </c>
      <c r="J29" s="118">
        <v>1320000</v>
      </c>
      <c r="K29" s="118">
        <v>4077271.4099999997</v>
      </c>
      <c r="L29" s="118">
        <v>3389940.9</v>
      </c>
      <c r="M29" s="118">
        <v>603100.5</v>
      </c>
      <c r="N29" s="118">
        <v>1635175.48</v>
      </c>
      <c r="O29" s="118">
        <v>492040</v>
      </c>
      <c r="P29" s="118">
        <v>0</v>
      </c>
      <c r="Q29" s="118">
        <v>129625.54000000001</v>
      </c>
      <c r="R29" s="118">
        <v>18851862.950000003</v>
      </c>
      <c r="S29" s="118"/>
      <c r="T29" s="125">
        <v>18851862.950000003</v>
      </c>
    </row>
    <row r="30" spans="1:20" ht="15" thickBot="1" x14ac:dyDescent="0.35">
      <c r="A30" s="226" t="s">
        <v>191</v>
      </c>
      <c r="B30" s="227"/>
      <c r="C30" s="144"/>
      <c r="D30" s="141">
        <v>216800</v>
      </c>
      <c r="E30" s="141">
        <v>154288.75</v>
      </c>
      <c r="F30" s="141">
        <v>-92429.239999999991</v>
      </c>
      <c r="G30" s="141">
        <v>-16437.630000000121</v>
      </c>
      <c r="H30" s="141">
        <v>14099060.699999999</v>
      </c>
      <c r="I30" s="141">
        <v>4008.3000000000466</v>
      </c>
      <c r="J30" s="141">
        <v>350000</v>
      </c>
      <c r="K30" s="141">
        <v>2582728.5900000003</v>
      </c>
      <c r="L30" s="141">
        <v>-49940.900000000023</v>
      </c>
      <c r="M30" s="141">
        <v>6899.5</v>
      </c>
      <c r="N30" s="141">
        <v>9824.5200000000186</v>
      </c>
      <c r="O30" s="141">
        <v>12960</v>
      </c>
      <c r="P30" s="141">
        <v>20000</v>
      </c>
      <c r="Q30" s="141">
        <v>10374.459999999992</v>
      </c>
      <c r="R30" s="142">
        <v>17308137.049999997</v>
      </c>
      <c r="S30" s="141"/>
      <c r="T30" s="142">
        <v>17308137.049999997</v>
      </c>
    </row>
  </sheetData>
  <mergeCells count="39">
    <mergeCell ref="A30:B30"/>
    <mergeCell ref="A25:B25"/>
    <mergeCell ref="A26:B26"/>
    <mergeCell ref="A27:B27"/>
    <mergeCell ref="A21:A22"/>
    <mergeCell ref="A19:A20"/>
    <mergeCell ref="A17:A18"/>
    <mergeCell ref="A15:A16"/>
    <mergeCell ref="A13:A14"/>
    <mergeCell ref="A11:A12"/>
    <mergeCell ref="A9:A10"/>
    <mergeCell ref="A7:A8"/>
    <mergeCell ref="A5:A6"/>
    <mergeCell ref="A3:A4"/>
    <mergeCell ref="B15:B16"/>
    <mergeCell ref="A29:B29"/>
    <mergeCell ref="A23:A24"/>
    <mergeCell ref="B23:B24"/>
    <mergeCell ref="B21:B22"/>
    <mergeCell ref="B3:B4"/>
    <mergeCell ref="B19:B20"/>
    <mergeCell ref="B17:B18"/>
    <mergeCell ref="B5:B6"/>
    <mergeCell ref="B13:B14"/>
    <mergeCell ref="B11:B12"/>
    <mergeCell ref="B9:B10"/>
    <mergeCell ref="B7:B8"/>
    <mergeCell ref="A28:B28"/>
    <mergeCell ref="C23:C24"/>
    <mergeCell ref="C21:C22"/>
    <mergeCell ref="C19:C20"/>
    <mergeCell ref="C17:C18"/>
    <mergeCell ref="C15:C16"/>
    <mergeCell ref="C3:C4"/>
    <mergeCell ref="C13:C14"/>
    <mergeCell ref="C11:C12"/>
    <mergeCell ref="C9:C10"/>
    <mergeCell ref="C7:C8"/>
    <mergeCell ref="C5:C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6AFF6-7335-4031-8082-D6226D5772F7}">
  <sheetPr codeName="Sheet5"/>
  <dimension ref="A1"/>
  <sheetViews>
    <sheetView workbookViewId="0">
      <selection activeCell="C9" sqref="C9"/>
    </sheetView>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MainSheet</vt:lpstr>
      <vt:lpstr>Changes</vt:lpstr>
      <vt:lpstr>Lists</vt:lpstr>
      <vt:lpstr>FinalOther</vt:lpstr>
      <vt:lpstr>Final Filter(2021)</vt:lpstr>
      <vt:lpstr>RPR</vt:lpstr>
      <vt:lpstr>Summary</vt:lpstr>
      <vt:lpstr>Sheet2</vt:lpstr>
      <vt:lpstr>Periodic_Maintenance</vt:lpstr>
      <vt:lpstr>FinalOther!Print_Area</vt:lpstr>
      <vt:lpstr>RPR!Print_Area</vt:lpstr>
      <vt:lpstr>Recurrent_Maintenance</vt:lpstr>
      <vt:lpstr>Roads</vt:lpstr>
      <vt:lpstr>Routine_Maintenance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VIHANGA</dc:creator>
  <cp:lastModifiedBy>Vihanga Himantha</cp:lastModifiedBy>
  <cp:lastPrinted>2024-09-19T08:07:45Z</cp:lastPrinted>
  <dcterms:created xsi:type="dcterms:W3CDTF">2015-06-05T18:17:20Z</dcterms:created>
  <dcterms:modified xsi:type="dcterms:W3CDTF">2024-09-19T10:39:33Z</dcterms:modified>
</cp:coreProperties>
</file>